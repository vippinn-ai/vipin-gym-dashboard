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ec4aff4ade4e2f" /></Relationships>
</file>

<file path=xl/workbook.xml><?xml version="1.0" encoding="utf-8"?>
<x:workbook xmlns:x="http://schemas.openxmlformats.org/spreadsheetml/2006/main">
  <x:sheets>
    <x:sheet xmlns:r="http://schemas.openxmlformats.org/officeDocument/2006/relationships" name="README" sheetId="1" r:id="R25bde1780882414a"/>
    <x:sheet xmlns:r="http://schemas.openxmlformats.org/officeDocument/2006/relationships" name="Dashboard" sheetId="2" r:id="Re7908410721d4f90"/>
    <x:sheet xmlns:r="http://schemas.openxmlformats.org/officeDocument/2006/relationships" name="Workout Journal" sheetId="3" r:id="R3b455d177ab64146"/>
    <x:sheet xmlns:r="http://schemas.openxmlformats.org/officeDocument/2006/relationships" name="Exercise Targets" sheetId="4" r:id="Rb7a24c0890044062"/>
    <x:sheet xmlns:r="http://schemas.openxmlformats.org/officeDocument/2006/relationships" name="Recovery &amp; Body" sheetId="5" r:id="R51bb39bd551b4431"/>
    <x:sheet xmlns:r="http://schemas.openxmlformats.org/officeDocument/2006/relationships" name="Program Notes" sheetId="6" r:id="R7c90d73a2799405b"/>
    <x:sheet xmlns:r="http://schemas.openxmlformats.org/officeDocument/2006/relationships" name="Session Summary" sheetId="7" r:id="R2e360cde33dd40b6"/>
    <x:sheet xmlns:r="http://schemas.openxmlformats.org/officeDocument/2006/relationships" name="Coaching Profile" sheetId="8" r:id="R48bb77fa33a243ef"/>
    <x:sheet xmlns:r="http://schemas.openxmlformats.org/officeDocument/2006/relationships" name="Nutrition Plan" sheetId="9" r:id="R21954db5f6ec4f86"/>
    <x:sheet xmlns:r="http://schemas.openxmlformats.org/officeDocument/2006/relationships" name="Photos &amp; Measurements" sheetId="10" r:id="Rb4611fc9255e4ec8"/>
    <x:sheet xmlns:r="http://schemas.openxmlformats.org/officeDocument/2006/relationships" name="Protein Calculator" sheetId="11" r:id="R5145d3d85b474ca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yyyy-mm-dd"/>
    <x:numFmt numFmtId="200" formatCode="0.0"/>
    <x:numFmt numFmtId="201" formatCode="#,##0"/>
    <x:numFmt numFmtId="202" formatCode="0 &quot;g&quot;"/>
    <x:numFmt numFmtId="203" formatCode="0.00"/>
  </x:numFmts>
  <x:fonts count="15">
    <x:font>
      <x:sz val="11"/>
      <x:name val="Carlito"/>
    </x:font>
    <x:font>
      <x:b/>
      <x:sz val="16"/>
      <x:color rgb="FFFFFFFF"/>
      <x:name val="Carlito"/>
    </x:font>
    <x:font>
      <x:b/>
      <x:sz val="11"/>
      <x:color rgb="FFFFFFFF"/>
      <x:name val="Carlito"/>
    </x:font>
    <x:font>
      <x:b/>
      <x:sz val="11"/>
      <x:color rgb="FF1F2937"/>
      <x:name val="Carlito"/>
    </x:font>
    <x:font>
      <x:b/>
      <x:sz val="15"/>
      <x:color rgb="FF17324D"/>
      <x:name val="Carlito"/>
    </x:font>
    <x:font>
      <x:b/>
      <x:sz val="10"/>
      <x:color rgb="FFFFFFFF"/>
      <x:name val="Carlito"/>
    </x:font>
    <x:font>
      <x:sz val="10"/>
      <x:name val="Carlito"/>
    </x:font>
    <x:font>
      <x:b/>
      <x:sz val="10"/>
      <x:color rgb="FF1F2937"/>
      <x:name val="Carlito"/>
    </x:font>
    <x:font>
      <x:b/>
      <x:sz val="10"/>
      <x:color rgb="FF17324D"/>
      <x:name val="Carlito"/>
    </x:font>
    <x:font>
      <x:b/>
      <x:sz val="16"/>
      <x:color rgb="FFFFFFFF"/>
    </x:font>
    <x:font>
      <x:i/>
      <x:sz val="10"/>
      <x:color rgb="FF7F6000"/>
      <x:name val="Carlito"/>
    </x:font>
    <x:font>
      <x:i/>
      <x:sz val="11"/>
      <x:color rgb="FF7F6000"/>
      <x:name val="Carlito"/>
    </x:font>
    <x:font>
      <x:b/>
      <x:sz val="11"/>
      <x:name val="Carlito"/>
    </x:font>
    <x:font>
      <x:b/>
      <x:sz val="11"/>
      <x:color rgb="FF7F6000"/>
      <x:name val="Carlito"/>
    </x:font>
    <x:font>
      <x:b/>
      <x:sz val="11"/>
      <x:color rgb="FF375623"/>
      <x:name val="Carlito"/>
    </x:font>
  </x:fonts>
  <x:fills count="45">
    <x:fill>
      <x:patternFill patternType="none"/>
    </x:fill>
    <x:fill>
      <x:patternFill patternType="gray125"/>
    </x:fill>
    <x:fill>
      <x:patternFill patternType="solid">
        <x:fgColor rgb="FF17324D"/>
      </x:patternFill>
    </x:fill>
    <x:fill>
      <x:patternFill patternType="solid">
        <x:fgColor rgb="FF2F75B5"/>
      </x:patternFill>
    </x:fill>
    <x:fill>
      <x:patternFill patternType="solid">
        <x:fgColor rgb="FFF3F5F7"/>
      </x:patternFill>
    </x:fill>
    <x:fill>
      <x:patternFill patternType="solid">
        <x:fgColor rgb="FFFFFFFF"/>
      </x:patternFill>
    </x:fill>
    <x:fill>
      <x:patternFill patternType="solid">
        <x:fgColor rgb="FFD9EAF7"/>
      </x:patternFill>
    </x:fill>
    <x:fill>
      <x:patternFill patternType="solid">
        <x:fgColor rgb="FF17324D"/>
      </x:patternFill>
    </x:fill>
    <x:fill>
      <x:patternFill patternType="solid">
        <x:fgColor rgb="FFFFF2CC"/>
      </x:patternFill>
    </x:fill>
    <x:fill>
      <x:patternFill patternType="solid">
        <x:fgColor rgb="FF17344F"/>
      </x:patternFill>
    </x:fill>
    <x:fill>
      <x:patternFill patternType="solid">
        <x:fgColor rgb="FFD9EAF7"/>
      </x:patternFill>
    </x:fill>
    <x:fill>
      <x:patternFill patternType="solid">
        <x:fgColor rgb="FF2F75B5"/>
      </x:patternFill>
    </x:fill>
    <x:fill>
      <x:patternFill patternType="solid">
        <x:fgColor rgb="FF17344F"/>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2F75B5"/>
      </x:patternFill>
    </x:fill>
    <x:fill>
      <x:patternFill patternType="solid">
        <x:fgColor rgb="FFD9EAF7"/>
      </x:patternFill>
    </x:fill>
    <x:fill>
      <x:patternFill patternType="solid">
        <x:fgColor rgb="FF17344F"/>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17344F"/>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
      <x:patternFill patternType="solid">
        <x:fgColor rgb="FF2F75B5"/>
      </x:patternFill>
    </x:fill>
    <x:fill>
      <x:patternFill patternType="solid">
        <x:fgColor rgb="FFE2F0D9"/>
      </x:patternFill>
    </x:fill>
  </x:fills>
  <x:borders count="14">
    <x:border/>
    <x:border/>
    <x:border>
      <x:right style="thin">
        <x:color rgb="FFB7C9D6"/>
      </x:right>
    </x:border>
    <x:border>
      <x:left style="thin">
        <x:color rgb="FFB7C9D6"/>
      </x:left>
      <x:right style="thin">
        <x:color rgb="FFB7C9D6"/>
      </x:right>
    </x:border>
    <x:border>
      <x:left style="thin">
        <x:color rgb="FFB7C9D6"/>
      </x:left>
    </x:border>
    <x:border>
      <x:right style="thin">
        <x:color rgb="FFB7C9D6"/>
      </x:right>
      <x:bottom style="thin">
        <x:color rgb="FFB7C9D6"/>
      </x:bottom>
    </x:border>
    <x:border>
      <x:left style="thin">
        <x:color rgb="FFB7C9D6"/>
      </x:left>
      <x:right style="thin">
        <x:color rgb="FFB7C9D6"/>
      </x:right>
      <x:bottom style="thin">
        <x:color rgb="FFB7C9D6"/>
      </x:bottom>
    </x:border>
    <x:border>
      <x:left style="thin">
        <x:color rgb="FFB7C9D6"/>
      </x:left>
      <x:bottom style="thin">
        <x:color rgb="FFB7C9D6"/>
      </x:bottom>
    </x:border>
    <x:border>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right style="thin">
        <x:color rgb="FFB7C9D6"/>
      </x:right>
      <x:top style="thin">
        <x:color rgb="FFB7C9D6"/>
      </x:top>
    </x:border>
    <x:border>
      <x:left style="thin">
        <x:color rgb="FFB7C9D6"/>
      </x:left>
      <x:right style="thin">
        <x:color rgb="FFB7C9D6"/>
      </x:right>
      <x:top style="thin">
        <x:color rgb="FFB7C9D6"/>
      </x:top>
    </x:border>
    <x:border>
      <x:left style="thin">
        <x:color rgb="FFB7C9D6"/>
      </x:left>
      <x:top style="thin">
        <x:color rgb="FFB7C9D6"/>
      </x:top>
    </x:border>
  </x:borders>
  <x:cellStyleXfs count="1">
    <x:xf numFmtId="0" fontId="0" fillId="0" borderId="1"/>
  </x:cellStyleXfs>
  <x:cellXfs count="380">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horizontal="left"/>
    </x:xf>
    <x:xf numFmtId="0" fontId="2" fillId="3" borderId="0" xfId="0" applyAlignment="1">
      <x:alignment horizontal="left" vertical="center"/>
    </x:xf>
    <x:xf numFmtId="0" fontId="0" fillId="3" borderId="1" xfId="0"/>
    <x:xf numFmtId="0" fontId="2" fillId="3" borderId="1" xfId="0"/>
    <x:xf numFmtId="0" fontId="2" fillId="3" borderId="1" xfId="0" applyAlignment="1">
      <x:alignment horizontal="left"/>
    </x:xf>
    <x:xf numFmtId="0" fontId="2" fillId="3" borderId="1" xfId="0" applyAlignment="1">
      <x:alignment horizontal="left" vertical="center"/>
    </x:xf>
    <x:xf numFmtId="0" fontId="0" fillId="4" borderId="0" xfId="0"/>
    <x:xf numFmtId="0" fontId="3" fillId="4" borderId="0" xfId="0"/>
    <x:xf numFmtId="0" fontId="3" fillId="4" borderId="0" xfId="0" applyAlignment="1">
      <x:alignment horizontal="left"/>
    </x:xf>
    <x:xf numFmtId="0" fontId="3" fillId="4" borderId="0" xfId="0" applyAlignment="1">
      <x:alignment horizontal="left" vertical="center"/>
    </x:xf>
    <x:xf numFmtId="0" fontId="0" fillId="4" borderId="1" xfId="0"/>
    <x:xf numFmtId="0" fontId="3" fillId="4" borderId="1" xfId="0"/>
    <x:xf numFmtId="0" fontId="3" fillId="4" borderId="1" xfId="0" applyAlignment="1">
      <x:alignment horizontal="left"/>
    </x:xf>
    <x:xf numFmtId="0" fontId="3" fillId="4" borderId="1" xfId="0" applyAlignment="1">
      <x:alignment horizontal="left" vertical="center"/>
    </x:xf>
    <x:xf numFmtId="0" fontId="0" fillId="0" borderId="0" xfId="0" applyAlignment="1">
      <x:alignment wrapText="1"/>
    </x:xf>
    <x:xf numFmtId="0" fontId="0" fillId="0" borderId="1" xfId="0" applyAlignment="1">
      <x:alignment wrapText="1"/>
    </x:xf>
    <x:xf numFmtId="0" fontId="3" fillId="4" borderId="0" xfId="0" applyAlignment="1">
      <x:alignment horizontal="center"/>
    </x:xf>
    <x:xf numFmtId="0" fontId="3" fillId="4" borderId="1" xfId="0" applyAlignment="1">
      <x:alignment horizontal="center"/>
    </x:xf>
    <x:xf numFmtId="0" fontId="0" fillId="5" borderId="0" xfId="0"/>
    <x:xf numFmtId="0" fontId="4" fillId="5" borderId="0" xfId="0"/>
    <x:xf numFmtId="0" fontId="4" fillId="5" borderId="0" xfId="0" applyAlignment="1">
      <x:alignment horizontal="center"/>
    </x:xf>
    <x:xf numFmtId="0" fontId="4" fillId="5" borderId="0" xfId="0" applyAlignment="1">
      <x:alignment horizontal="center" vertical="center"/>
    </x:xf>
    <x:xf numFmtId="0" fontId="0" fillId="5" borderId="1" xfId="0"/>
    <x:xf numFmtId="0" fontId="4" fillId="5" borderId="1" xfId="0"/>
    <x:xf numFmtId="0" fontId="4" fillId="5" borderId="1" xfId="0" applyAlignment="1">
      <x:alignment horizontal="center"/>
    </x:xf>
    <x:xf numFmtId="0" fontId="4" fillId="5" borderId="1" xfId="0" applyAlignment="1">
      <x:alignment horizontal="center" vertical="center"/>
    </x:xf>
    <x:xf numFmtId="0" fontId="0" fillId="6" borderId="0" xfId="0"/>
    <x:xf numFmtId="0" fontId="3" fillId="6" borderId="0" xfId="0"/>
    <x:xf numFmtId="0" fontId="3" fillId="6" borderId="0" xfId="0" applyAlignment="1">
      <x:alignment horizontal="center"/>
    </x:xf>
    <x:xf numFmtId="0" fontId="3" fillId="6" borderId="0" xfId="0" applyAlignment="1">
      <x:alignment horizontal="center" vertical="center"/>
    </x:xf>
    <x:xf numFmtId="0" fontId="0" fillId="6" borderId="1" xfId="0"/>
    <x:xf numFmtId="0" fontId="3" fillId="6" borderId="1" xfId="0"/>
    <x:xf numFmtId="0" fontId="3" fillId="6" borderId="1" xfId="0" applyAlignment="1">
      <x:alignment horizontal="center"/>
    </x:xf>
    <x:xf numFmtId="0" fontId="3" fillId="6" borderId="1" xfId="0" applyAlignment="1">
      <x:alignment horizontal="center" vertical="center"/>
    </x:xf>
    <x:xf numFmtId="164" fontId="0" fillId="0" borderId="0" xfId="0"/>
    <x:xf numFmtId="164" fontId="0" fillId="0" borderId="1" xfId="0"/>
    <x:xf numFmtId="0" fontId="0" fillId="0" borderId="0" xfId="0" applyAlignment="1">
      <x:alignment vertical="center"/>
    </x:xf>
    <x:xf numFmtId="0" fontId="3" fillId="4" borderId="0" xfId="0" applyAlignment="1">
      <x:alignment horizontal="center" vertical="center"/>
    </x:xf>
    <x:xf numFmtId="0" fontId="0" fillId="0" borderId="0" xfId="0" applyAlignment="1">
      <x:alignment vertical="center" wrapText="1"/>
    </x:xf>
    <x:xf numFmtId="0" fontId="0" fillId="0" borderId="1" xfId="0" applyAlignment="1">
      <x:alignment vertical="center"/>
    </x:xf>
    <x:xf numFmtId="0" fontId="3" fillId="4" borderId="1" xfId="0" applyAlignment="1">
      <x:alignment horizontal="center" vertical="center"/>
    </x:xf>
    <x:xf numFmtId="0" fontId="0" fillId="0" borderId="1" xfId="0" applyAlignment="1">
      <x:alignment vertical="center" wrapText="1"/>
    </x:xf>
    <x:xf numFmtId="0" fontId="5" fillId="2" borderId="0" xfId="0" applyAlignment="1">
      <x:alignment horizontal="left" vertical="center"/>
    </x:xf>
    <x:xf numFmtId="0" fontId="6" fillId="0" borderId="0" xfId="0" applyAlignment="1">
      <x:alignment vertical="center"/>
    </x:xf>
    <x:xf numFmtId="0" fontId="5" fillId="3" borderId="0" xfId="0" applyAlignment="1">
      <x:alignment horizontal="left" vertical="center"/>
    </x:xf>
    <x:xf numFmtId="0" fontId="7" fillId="4" borderId="0" xfId="0" applyAlignment="1">
      <x:alignment horizontal="center" vertical="center"/>
    </x:xf>
    <x:xf numFmtId="0" fontId="7" fillId="4" borderId="0" xfId="0" applyAlignment="1">
      <x:alignment horizontal="left" vertical="center"/>
    </x:xf>
    <x:xf numFmtId="0" fontId="6" fillId="0" borderId="0" xfId="0" applyAlignment="1">
      <x:alignment vertical="center" wrapText="1"/>
    </x:xf>
    <x:xf numFmtId="0" fontId="8" fillId="5" borderId="0" xfId="0" applyAlignment="1">
      <x:alignment horizontal="center" vertical="center"/>
    </x:xf>
    <x:xf numFmtId="0" fontId="7" fillId="6" borderId="0" xfId="0" applyAlignment="1">
      <x:alignment horizontal="center" vertical="center"/>
    </x:xf>
    <x:xf numFmtId="0" fontId="5" fillId="2" borderId="1" xfId="0" applyAlignment="1">
      <x:alignment horizontal="left" vertical="center"/>
    </x:xf>
    <x:xf numFmtId="0" fontId="6" fillId="0" borderId="1" xfId="0" applyAlignment="1">
      <x:alignment vertical="center"/>
    </x:xf>
    <x:xf numFmtId="0" fontId="5" fillId="3" borderId="1" xfId="0" applyAlignment="1">
      <x:alignment horizontal="left" vertical="center"/>
    </x:xf>
    <x:xf numFmtId="0" fontId="7" fillId="4" borderId="1" xfId="0" applyAlignment="1">
      <x:alignment horizontal="center" vertical="center"/>
    </x:xf>
    <x:xf numFmtId="0" fontId="7" fillId="4" borderId="1" xfId="0" applyAlignment="1">
      <x:alignment horizontal="left" vertical="center"/>
    </x:xf>
    <x:xf numFmtId="0" fontId="6" fillId="0" borderId="1" xfId="0" applyAlignment="1">
      <x:alignment vertical="center" wrapText="1"/>
    </x:xf>
    <x:xf numFmtId="0" fontId="8" fillId="5" borderId="1" xfId="0" applyAlignment="1">
      <x:alignment horizontal="center" vertical="center"/>
    </x:xf>
    <x:xf numFmtId="0" fontId="7" fillId="6" borderId="1" xfId="0" applyAlignment="1">
      <x:alignment horizontal="center" vertical="center"/>
    </x:xf>
    <x:xf numFmtId="0" fontId="5" fillId="2" borderId="0" xfId="0" applyAlignment="1">
      <x:alignment horizontal="left" vertical="center" wrapText="1"/>
    </x:xf>
    <x:xf numFmtId="0" fontId="5" fillId="3" borderId="0" xfId="0" applyAlignment="1">
      <x:alignment horizontal="left" vertical="center" wrapText="1"/>
    </x:xf>
    <x:xf numFmtId="0" fontId="7" fillId="4" borderId="0" xfId="0" applyAlignment="1">
      <x:alignment horizontal="center" vertical="center" wrapText="1"/>
    </x:xf>
    <x:xf numFmtId="0" fontId="7" fillId="4" borderId="0" xfId="0" applyAlignment="1">
      <x:alignment horizontal="left" vertical="center" wrapText="1"/>
    </x:xf>
    <x:xf numFmtId="0" fontId="8" fillId="5" borderId="0" xfId="0" applyAlignment="1">
      <x:alignment horizontal="center" vertical="center" wrapText="1"/>
    </x:xf>
    <x:xf numFmtId="0" fontId="7" fillId="6" borderId="0" xfId="0" applyAlignment="1">
      <x:alignment horizontal="center" vertical="center" wrapText="1"/>
    </x:xf>
    <x:xf numFmtId="0" fontId="5" fillId="2" borderId="1" xfId="0" applyAlignment="1">
      <x:alignment horizontal="left" vertical="center" wrapText="1"/>
    </x:xf>
    <x:xf numFmtId="0" fontId="5" fillId="3" borderId="1" xfId="0" applyAlignment="1">
      <x:alignment horizontal="left" vertical="center" wrapText="1"/>
    </x:xf>
    <x:xf numFmtId="0" fontId="7" fillId="4" borderId="1" xfId="0" applyAlignment="1">
      <x:alignment horizontal="center" vertical="center" wrapText="1"/>
    </x:xf>
    <x:xf numFmtId="0" fontId="7" fillId="4" borderId="1" xfId="0" applyAlignment="1">
      <x:alignment horizontal="left" vertical="center" wrapText="1"/>
    </x:xf>
    <x:xf numFmtId="0" fontId="8" fillId="5" borderId="1" xfId="0" applyAlignment="1">
      <x:alignment horizontal="center" vertical="center" wrapText="1"/>
    </x:xf>
    <x:xf numFmtId="0" fontId="7" fillId="6" borderId="1" xfId="0" applyAlignment="1">
      <x:alignment horizontal="center" vertical="center" wrapText="1"/>
    </x:xf>
    <x:xf numFmtId="164" fontId="0" fillId="0" borderId="0" xfId="0" applyAlignment="1">
      <x:alignment vertical="center"/>
    </x:xf>
    <x:xf numFmtId="164" fontId="0" fillId="0" borderId="1" xfId="0" applyAlignment="1">
      <x:alignment vertical="center"/>
    </x:xf>
    <x:xf numFmtId="164" fontId="6" fillId="0" borderId="0" xfId="0" applyAlignment="1">
      <x:alignment vertical="center"/>
    </x:xf>
    <x:xf numFmtId="164" fontId="6" fillId="0" borderId="1" xfId="0" applyAlignment="1">
      <x:alignment vertical="center"/>
    </x:xf>
    <x:xf numFmtId="164" fontId="6" fillId="0" borderId="0" xfId="0" applyAlignment="1">
      <x:alignment vertical="center" wrapText="1"/>
    </x:xf>
    <x:xf numFmtId="164" fontId="6" fillId="0" borderId="1" xfId="0" applyAlignment="1">
      <x:alignment vertical="center" wrapText="1"/>
    </x:xf>
    <x:xf numFmtId="0" fontId="9" fillId="7" borderId="1" xfId="0" applyAlignment="1">
      <x:alignment vertical="center" wrapText="1"/>
    </x:xf>
    <x:xf numFmtId="0" fontId="5" fillId="2" borderId="1" xfId="0" applyAlignment="1">
      <x:alignment vertical="center" wrapText="1"/>
    </x:xf>
    <x:xf numFmtId="0" fontId="5" fillId="3" borderId="1" xfId="0" applyAlignment="1">
      <x:alignment vertical="center" wrapText="1"/>
    </x:xf>
    <x:xf numFmtId="0" fontId="7" fillId="4" borderId="1" xfId="0" applyAlignment="1">
      <x:alignment vertical="center" wrapText="1"/>
    </x:xf>
    <x:xf numFmtId="0" fontId="7" fillId="4" borderId="0" xfId="0" applyAlignment="1">
      <x:alignment vertical="center" wrapText="1"/>
    </x:xf>
    <x:xf numFmtId="0" fontId="8" fillId="5" borderId="1" xfId="0" applyAlignment="1">
      <x:alignment vertical="center" wrapText="1"/>
    </x:xf>
    <x:xf numFmtId="0" fontId="7" fillId="6" borderId="0" xfId="0" applyAlignment="1">
      <x:alignment vertical="center" wrapText="1"/>
    </x:xf>
    <x:xf numFmtId="164" fontId="6" fillId="0" borderId="0" xfId="0" applyAlignment="1">
      <x:alignment vertical="center" wrapText="1"/>
    </x:xf>
    <x:xf numFmtId="164" fontId="0" fillId="0" borderId="0" xfId="0" applyNumberFormat="1" applyFont="1" applyFill="1" applyBorder="1"/>
    <x:xf numFmtId="0" fontId="6" fillId="8" borderId="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applyAlignment="1">
      <x:alignment vertical="center" wrapText="1"/>
    </x:xf>
    <x:xf numFmtId="0" fontId="11" fillId="8" borderId="0" xfId="0" applyNumberFormat="1" applyFont="1" applyFill="1" applyBorder="1"/>
    <x:xf numFmtId="0" fontId="11" fillId="8"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applyAlignment="1">
      <x:alignment vertical="center" wrapText="1"/>
    </x:xf>
    <x:xf numFmtId="0" fontId="2" fillId="9" borderId="0" xfId="0" applyNumberFormat="1" applyFont="1" applyFill="1" applyBorder="1"/>
    <x:xf numFmtId="0" fontId="7" fillId="10" borderId="0" xfId="0" applyNumberFormat="1" applyFont="1" applyFill="1" applyBorder="1" applyAlignment="1">
      <x:alignment vertical="center"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0" xfId="0" applyNumberFormat="1" applyFont="1" applyFill="1" applyBorder="1" applyAlignment="1">
      <x:alignment vertical="top"/>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vertical="center"/>
    </x:xf>
    <x:xf numFmtId="0" fontId="3" fillId="10" borderId="0" xfId="0" applyNumberFormat="1" applyFont="1" applyFill="1" applyBorder="1"/>
    <x:xf numFmtId="0" fontId="3" fillId="10" borderId="2" xfId="0" applyNumberFormat="1" applyFont="1" applyFill="1" applyBorder="1"/>
    <x:xf numFmtId="0" fontId="3" fillId="10" borderId="3" xfId="0" applyNumberFormat="1" applyFont="1" applyFill="1" applyBorder="1"/>
    <x:xf numFmtId="0" fontId="3" fillId="10" borderId="4" xfId="0" applyNumberFormat="1" applyFont="1" applyFill="1" applyBorder="1"/>
    <x:xf numFmtId="0" fontId="3" fillId="10" borderId="2" xfId="0" applyNumberFormat="1" applyFont="1" applyFill="1" applyBorder="1" applyAlignment="1">
      <x:alignment wrapText="1"/>
    </x:xf>
    <x:xf numFmtId="0" fontId="3" fillId="10" borderId="3" xfId="0" applyNumberFormat="1" applyFont="1" applyFill="1" applyBorder="1" applyAlignment="1">
      <x:alignment wrapText="1"/>
    </x:xf>
    <x:xf numFmtId="0" fontId="3" fillId="10" borderId="4" xfId="0" applyNumberFormat="1" applyFont="1" applyFill="1" applyBorder="1" applyAlignment="1">
      <x:alignment wrapText="1"/>
    </x:xf>
    <x:xf numFmtId="0" fontId="3" fillId="10" borderId="2" xfId="0" applyNumberFormat="1" applyFont="1" applyFill="1" applyBorder="1" applyAlignment="1">
      <x:alignment vertical="center" wrapText="1"/>
    </x:xf>
    <x:xf numFmtId="0" fontId="3" fillId="10" borderId="3" xfId="0" applyNumberFormat="1" applyFont="1" applyFill="1" applyBorder="1" applyAlignment="1">
      <x:alignment vertical="center" wrapText="1"/>
    </x:xf>
    <x:xf numFmtId="0" fontId="3" fillId="10" borderId="4"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5" xfId="0" applyNumberFormat="1" applyFont="1" applyFill="1" applyBorder="1"/>
    <x:xf numFmtId="164" fontId="0" fillId="0" borderId="6" xfId="0" applyNumberFormat="1" applyFont="1" applyFill="1" applyBorder="1"/>
    <x:xf numFmtId="200" fontId="0" fillId="0" borderId="6" xfId="0" applyNumberFormat="1" applyFont="1" applyFill="1" applyBorder="1"/>
    <x:xf numFmtId="0" fontId="0" fillId="0" borderId="6" xfId="0" applyNumberFormat="1" applyFont="1" applyFill="1" applyBorder="1"/>
    <x:xf numFmtId="201"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164" fontId="0" fillId="0" borderId="9" xfId="0" applyNumberFormat="1" applyFont="1" applyFill="1" applyBorder="1"/>
    <x:xf numFmtId="200" fontId="0" fillId="0" borderId="9" xfId="0" applyNumberFormat="1" applyFont="1" applyFill="1" applyBorder="1"/>
    <x:xf numFmtId="0" fontId="0" fillId="0" borderId="9" xfId="0" applyNumberFormat="1" applyFont="1" applyFill="1" applyBorder="1"/>
    <x:xf numFmtId="201"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164" fontId="0" fillId="0" borderId="12" xfId="0" applyNumberFormat="1" applyFont="1" applyFill="1" applyBorder="1"/>
    <x:xf numFmtId="200" fontId="0" fillId="0" borderId="12" xfId="0" applyNumberFormat="1" applyFont="1" applyFill="1" applyBorder="1"/>
    <x:xf numFmtId="0" fontId="0" fillId="0" borderId="12" xfId="0" applyNumberFormat="1" applyFont="1" applyFill="1" applyBorder="1"/>
    <x:xf numFmtId="201"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applyAlignment="1">
      <x:alignment wrapText="1"/>
    </x:xf>
    <x:xf numFmtId="164" fontId="0" fillId="0" borderId="6" xfId="0" applyNumberFormat="1" applyFont="1" applyFill="1" applyBorder="1" applyAlignment="1">
      <x:alignment wrapText="1"/>
    </x:xf>
    <x:xf numFmtId="200" fontId="0" fillId="0" borderId="6" xfId="0" applyNumberFormat="1" applyFont="1" applyFill="1" applyBorder="1" applyAlignment="1">
      <x:alignment wrapText="1"/>
    </x:xf>
    <x:xf numFmtId="0" fontId="0" fillId="0" borderId="6" xfId="0" applyNumberFormat="1" applyFont="1" applyFill="1" applyBorder="1" applyAlignment="1">
      <x:alignment wrapText="1"/>
    </x:xf>
    <x:xf numFmtId="201"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164" fontId="0" fillId="0" borderId="9" xfId="0" applyNumberFormat="1" applyFont="1" applyFill="1" applyBorder="1" applyAlignment="1">
      <x:alignment wrapText="1"/>
    </x:xf>
    <x:xf numFmtId="200" fontId="0" fillId="0" borderId="9" xfId="0" applyNumberFormat="1" applyFont="1" applyFill="1" applyBorder="1" applyAlignment="1">
      <x:alignment wrapText="1"/>
    </x:xf>
    <x:xf numFmtId="0" fontId="0" fillId="0" borderId="9" xfId="0" applyNumberFormat="1" applyFont="1" applyFill="1" applyBorder="1" applyAlignment="1">
      <x:alignment wrapText="1"/>
    </x:xf>
    <x:xf numFmtId="201"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164" fontId="0" fillId="0" borderId="12" xfId="0" applyNumberFormat="1" applyFont="1" applyFill="1" applyBorder="1" applyAlignment="1">
      <x:alignment wrapText="1"/>
    </x:xf>
    <x:xf numFmtId="200" fontId="0" fillId="0" borderId="12" xfId="0" applyNumberFormat="1" applyFont="1" applyFill="1" applyBorder="1" applyAlignment="1">
      <x:alignment wrapText="1"/>
    </x:xf>
    <x:xf numFmtId="0" fontId="0" fillId="0" borderId="12" xfId="0" applyNumberFormat="1" applyFont="1" applyFill="1" applyBorder="1" applyAlignment="1">
      <x:alignment wrapText="1"/>
    </x:xf>
    <x:xf numFmtId="201"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1" fillId="9" borderId="0" xfId="0" applyNumberFormat="1" applyFont="1" applyFill="1" applyBorder="1"/>
    <x:xf numFmtId="0" fontId="1" fillId="9"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vertical="center"/>
    </x:xf>
    <x:xf numFmtId="0" fontId="0" fillId="15" borderId="0" xfId="0" applyNumberFormat="1" applyFont="1" applyFill="1" applyBorder="1"/>
    <x:xf numFmtId="0" fontId="3" fillId="15" borderId="0" xfId="0" applyNumberFormat="1" applyFont="1" applyFill="1" applyBorder="1"/>
    <x:xf numFmtId="0" fontId="3" fillId="15" borderId="2" xfId="0" applyNumberFormat="1" applyFont="1" applyFill="1" applyBorder="1"/>
    <x:xf numFmtId="0" fontId="3" fillId="15" borderId="3" xfId="0" applyNumberFormat="1" applyFont="1" applyFill="1" applyBorder="1"/>
    <x:xf numFmtId="0" fontId="3" fillId="15" borderId="4" xfId="0" applyNumberFormat="1" applyFont="1" applyFill="1" applyBorder="1"/>
    <x:xf numFmtId="0" fontId="3" fillId="15" borderId="2" xfId="0" applyNumberFormat="1" applyFont="1" applyFill="1" applyBorder="1" applyAlignment="1">
      <x:alignment wrapText="1"/>
    </x:xf>
    <x:xf numFmtId="0" fontId="3" fillId="15" borderId="3" xfId="0" applyNumberFormat="1" applyFont="1" applyFill="1" applyBorder="1" applyAlignment="1">
      <x:alignment wrapText="1"/>
    </x:xf>
    <x:xf numFmtId="0" fontId="3" fillId="15" borderId="4" xfId="0" applyNumberFormat="1" applyFont="1" applyFill="1" applyBorder="1" applyAlignment="1">
      <x:alignment wrapText="1"/>
    </x:xf>
    <x:xf numFmtId="0" fontId="3" fillId="15" borderId="2" xfId="0" applyNumberFormat="1" applyFont="1" applyFill="1" applyBorder="1" applyAlignment="1">
      <x:alignment vertical="center" wrapText="1"/>
    </x:xf>
    <x:xf numFmtId="0" fontId="3" fillId="15" borderId="3" xfId="0" applyNumberFormat="1" applyFont="1" applyFill="1" applyBorder="1" applyAlignment="1">
      <x:alignment vertical="center" wrapText="1"/>
    </x:xf>
    <x:xf numFmtId="0" fontId="3" fillId="15" borderId="4" xfId="0" applyNumberFormat="1" applyFont="1" applyFill="1" applyBorder="1" applyAlignment="1">
      <x:alignment vertical="center" wrapText="1"/>
    </x:xf>
    <x:xf numFmtId="202" fontId="0" fillId="0" borderId="0" xfId="0" applyNumberFormat="1" applyFont="1" applyFill="1" applyBorder="1"/>
    <x:xf numFmtId="202" fontId="0" fillId="13" borderId="0" xfId="0" applyNumberFormat="1" applyFont="1" applyFill="1" applyBorder="1"/>
    <x:xf numFmtId="0" fontId="13" fillId="13" borderId="0" xfId="0" applyNumberFormat="1" applyFont="1" applyFill="1" applyBorder="1"/>
    <x:xf numFmtId="202" fontId="13" fillId="13" borderId="0" xfId="0" applyNumberFormat="1" applyFont="1" applyFill="1" applyBorder="1"/>
    <x:xf numFmtId="0" fontId="13" fillId="13" borderId="2" xfId="0" applyNumberFormat="1" applyFont="1" applyFill="1" applyBorder="1"/>
    <x:xf numFmtId="0" fontId="13" fillId="13" borderId="3" xfId="0" applyNumberFormat="1" applyFont="1" applyFill="1" applyBorder="1"/>
    <x:xf numFmtId="202" fontId="13" fillId="13" borderId="3" xfId="0" applyNumberFormat="1" applyFont="1" applyFill="1" applyBorder="1"/>
    <x:xf numFmtId="0" fontId="13" fillId="13" borderId="4" xfId="0" applyNumberFormat="1" applyFont="1" applyFill="1" applyBorder="1"/>
    <x:xf numFmtId="0" fontId="13" fillId="13" borderId="2" xfId="0" applyNumberFormat="1" applyFont="1" applyFill="1" applyBorder="1" applyAlignment="1">
      <x:alignment wrapText="1"/>
    </x:xf>
    <x:xf numFmtId="0" fontId="13" fillId="13" borderId="3" xfId="0" applyNumberFormat="1" applyFont="1" applyFill="1" applyBorder="1" applyAlignment="1">
      <x:alignment wrapText="1"/>
    </x:xf>
    <x:xf numFmtId="202" fontId="13" fillId="13" borderId="3" xfId="0" applyNumberFormat="1" applyFont="1" applyFill="1" applyBorder="1" applyAlignment="1">
      <x:alignment wrapText="1"/>
    </x:xf>
    <x:xf numFmtId="0" fontId="13" fillId="13" borderId="4"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3" fillId="17" borderId="2" xfId="0" applyNumberFormat="1" applyFont="1" applyFill="1" applyBorder="1"/>
    <x:xf numFmtId="0" fontId="3" fillId="17" borderId="3" xfId="0" applyNumberFormat="1" applyFont="1" applyFill="1" applyBorder="1"/>
    <x:xf numFmtId="0" fontId="3" fillId="17" borderId="4" xfId="0" applyNumberFormat="1" applyFont="1" applyFill="1" applyBorder="1"/>
    <x:xf numFmtId="0" fontId="3" fillId="17" borderId="2" xfId="0" applyNumberFormat="1" applyFont="1" applyFill="1" applyBorder="1" applyAlignment="1">
      <x:alignment wrapText="1"/>
    </x:xf>
    <x:xf numFmtId="0" fontId="3" fillId="17" borderId="3" xfId="0" applyNumberFormat="1" applyFont="1" applyFill="1" applyBorder="1" applyAlignment="1">
      <x:alignment wrapText="1"/>
    </x:xf>
    <x:xf numFmtId="0" fontId="3" fillId="17" borderId="4" xfId="0" applyNumberFormat="1" applyFont="1" applyFill="1" applyBorder="1" applyAlignment="1">
      <x:alignment wrapText="1"/>
    </x:xf>
    <x:xf numFmtId="0" fontId="3" fillId="17" borderId="2" xfId="0" applyNumberFormat="1" applyFont="1" applyFill="1" applyBorder="1" applyAlignment="1">
      <x:alignment vertical="center" wrapText="1"/>
    </x:xf>
    <x:xf numFmtId="0" fontId="3" fillId="17" borderId="3" xfId="0" applyNumberFormat="1" applyFont="1" applyFill="1" applyBorder="1" applyAlignment="1">
      <x:alignment vertical="center" wrapText="1"/>
    </x:xf>
    <x:xf numFmtId="0" fontId="3" fillId="17" borderId="4" xfId="0" applyNumberFormat="1" applyFont="1" applyFill="1" applyBorder="1" applyAlignment="1">
      <x:alignment vertical="center" wrapText="1"/>
    </x:xf>
    <x:xf numFmtId="0" fontId="2" fillId="1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164" fontId="0" fillId="0" borderId="0" xfId="0" applyNumberFormat="1" applyFont="1" applyFill="1" applyBorder="1" applyAlignment="1">
      <x:alignment wrapText="1"/>
    </x:xf>
    <x:xf numFmtId="0" fontId="12" fillId="6"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6" borderId="2" xfId="0" applyNumberFormat="1" applyFont="1" applyFill="1" applyBorder="1" applyAlignment="1">
      <x:alignment vertical="center" wrapText="1"/>
    </x:xf>
    <x:xf numFmtId="0" fontId="3" fillId="6" borderId="3" xfId="0" applyNumberFormat="1" applyFont="1" applyFill="1" applyBorder="1" applyAlignment="1">
      <x:alignment vertical="center" wrapText="1"/>
    </x:xf>
    <x:xf numFmtId="0" fontId="3" fillId="6" borderId="4"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xf numFmtId="0" fontId="0" fillId="20" borderId="0" xfId="0" applyNumberFormat="1" applyFont="1" applyFill="1" applyBorder="1"/>
    <x:xf numFmtId="0" fontId="3" fillId="20" borderId="0" xfId="0" applyNumberFormat="1" applyFont="1" applyFill="1" applyBorder="1"/>
    <x:xf numFmtId="0" fontId="3" fillId="20" borderId="2" xfId="0" applyNumberFormat="1" applyFont="1" applyFill="1" applyBorder="1"/>
    <x:xf numFmtId="0" fontId="3" fillId="20" borderId="3" xfId="0" applyNumberFormat="1" applyFont="1" applyFill="1" applyBorder="1"/>
    <x:xf numFmtId="0" fontId="3" fillId="20" borderId="4" xfId="0" applyNumberFormat="1" applyFont="1" applyFill="1" applyBorder="1"/>
    <x:xf numFmtId="0" fontId="3" fillId="20" borderId="2" xfId="0" applyNumberFormat="1" applyFont="1" applyFill="1" applyBorder="1" applyAlignment="1">
      <x:alignment wrapText="1"/>
    </x:xf>
    <x:xf numFmtId="0" fontId="3" fillId="20" borderId="3" xfId="0" applyNumberFormat="1" applyFont="1" applyFill="1" applyBorder="1" applyAlignment="1">
      <x:alignment wrapText="1"/>
    </x:xf>
    <x:xf numFmtId="0" fontId="3" fillId="20" borderId="4" xfId="0" applyNumberFormat="1" applyFont="1" applyFill="1" applyBorder="1" applyAlignment="1">
      <x:alignment wrapText="1"/>
    </x:xf>
    <x:xf numFmtId="0" fontId="3" fillId="20" borderId="2" xfId="0" applyNumberFormat="1" applyFont="1" applyFill="1" applyBorder="1" applyAlignment="1">
      <x:alignment vertical="center" wrapText="1"/>
    </x:xf>
    <x:xf numFmtId="0" fontId="3" fillId="20" borderId="3" xfId="0" applyNumberFormat="1" applyFont="1" applyFill="1" applyBorder="1" applyAlignment="1">
      <x:alignment vertical="center" wrapText="1"/>
    </x:xf>
    <x:xf numFmtId="0" fontId="3" fillId="20" borderId="4" xfId="0" applyNumberFormat="1" applyFont="1" applyFill="1" applyBorder="1" applyAlignment="1">
      <x:alignment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vertical="center"/>
    </x:xf>
    <x:xf numFmtId="200" fontId="0" fillId="0" borderId="7" xfId="0" applyNumberFormat="1" applyFont="1" applyFill="1" applyBorder="1" applyAlignment="1">
      <x:alignment wrapText="1"/>
    </x:xf>
    <x:xf numFmtId="200" fontId="0" fillId="0" borderId="10" xfId="0" applyNumberFormat="1" applyFont="1" applyFill="1" applyBorder="1" applyAlignment="1">
      <x:alignment wrapText="1"/>
    </x:xf>
    <x:xf numFmtId="0" fontId="12" fillId="0" borderId="5" xfId="0" applyNumberFormat="1" applyFont="1" applyFill="1" applyBorder="1" applyAlignment="1">
      <x:alignment wrapText="1"/>
    </x:xf>
    <x:xf numFmtId="0" fontId="12" fillId="0" borderId="8" xfId="0" applyNumberFormat="1" applyFont="1" applyFill="1" applyBorder="1" applyAlignment="1">
      <x:alignment wrapText="1"/>
    </x:xf>
    <x:xf numFmtId="0" fontId="12" fillId="0" borderId="11" xfId="0" applyNumberFormat="1" applyFont="1" applyFill="1" applyBorder="1" applyAlignment="1">
      <x:alignment wrapText="1"/>
    </x:xf>
    <x:xf numFmtId="200" fontId="0" fillId="22" borderId="7" xfId="0" applyNumberFormat="1" applyFont="1" applyFill="1" applyBorder="1" applyAlignment="1">
      <x:alignment wrapText="1"/>
    </x:xf>
    <x:xf numFmtId="200" fontId="0" fillId="22" borderId="10" xfId="0" applyNumberFormat="1" applyFont="1" applyFill="1" applyBorder="1" applyAlignment="1">
      <x:alignment wrapText="1"/>
    </x:xf>
    <x:xf numFmtId="200" fontId="14" fillId="22" borderId="7" xfId="0" applyNumberFormat="1" applyFont="1" applyFill="1" applyBorder="1" applyAlignment="1">
      <x:alignment wrapText="1"/>
    </x:xf>
    <x:xf numFmtId="200" fontId="14" fillId="22" borderId="10" xfId="0" applyNumberFormat="1" applyFont="1" applyFill="1" applyBorder="1" applyAlignment="1">
      <x:alignment wrapText="1"/>
    </x:xf>
    <x:xf numFmtId="200" fontId="0" fillId="19" borderId="10" xfId="0" applyNumberFormat="1" applyFont="1" applyFill="1" applyBorder="1" applyAlignment="1">
      <x:alignment wrapText="1"/>
    </x:xf>
    <x:xf numFmtId="200" fontId="13" fillId="19" borderId="10" xfId="0" applyNumberFormat="1" applyFont="1" applyFill="1" applyBorder="1" applyAlignment="1">
      <x:alignment wrapText="1"/>
    </x:xf>
    <x:xf numFmtId="200" fontId="0" fillId="0" borderId="13" xfId="0" applyNumberFormat="1" applyFont="1" applyFill="1" applyBorder="1" applyAlignment="1">
      <x:alignment wrapText="1"/>
    </x:xf>
    <x:xf numFmtId="200" fontId="0" fillId="19" borderId="13" xfId="0" applyNumberFormat="1" applyFont="1" applyFill="1" applyBorder="1" applyAlignment="1">
      <x:alignment wrapText="1"/>
    </x:xf>
    <x:xf numFmtId="200" fontId="13" fillId="19" borderId="13" xfId="0" applyNumberFormat="1" applyFont="1" applyFill="1" applyBorder="1" applyAlignment="1">
      <x:alignment wrapText="1"/>
    </x:xf>
    <x:xf numFmtId="0" fontId="1" fillId="18" borderId="0" xfId="0" applyNumberFormat="1" applyFont="1" applyFill="1" applyBorder="1" applyAlignment="1">
      <x:alignment vertical="center" wrapText="1"/>
    </x:xf>
    <x:xf numFmtId="200" fontId="13" fillId="8" borderId="3" xfId="0" applyNumberFormat="1" applyFont="1" applyFill="1" applyBorder="1" applyAlignment="1">
      <x:alignment wrapText="1"/>
    </x:xf>
    <x:xf numFmtId="0" fontId="13" fillId="8" borderId="2" xfId="0" applyNumberFormat="1" applyFont="1" applyFill="1" applyBorder="1" applyAlignment="1">
      <x:alignment wrapText="1"/>
    </x:xf>
    <x:xf numFmtId="0" fontId="13" fillId="8" borderId="3" xfId="0" applyNumberFormat="1" applyFont="1" applyFill="1" applyBorder="1" applyAlignment="1">
      <x:alignment wrapText="1"/>
    </x:xf>
    <x:xf numFmtId="0" fontId="13" fillId="8" borderId="4"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1" fillId="24" borderId="0" xfId="0" applyNumberFormat="1" applyFont="1" applyFill="1" applyBorder="1"/>
    <x:xf numFmtId="0" fontId="11"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3" fillId="25" borderId="2" xfId="0" applyNumberFormat="1" applyFont="1" applyFill="1" applyBorder="1"/>
    <x:xf numFmtId="0" fontId="3" fillId="25" borderId="3" xfId="0" applyNumberFormat="1" applyFont="1" applyFill="1" applyBorder="1"/>
    <x:xf numFmtId="0" fontId="3" fillId="25" borderId="4" xfId="0" applyNumberFormat="1" applyFont="1" applyFill="1" applyBorder="1"/>
    <x:xf numFmtId="0" fontId="3" fillId="25" borderId="2" xfId="0" applyNumberFormat="1" applyFont="1" applyFill="1" applyBorder="1" applyAlignment="1">
      <x:alignment wrapText="1"/>
    </x:xf>
    <x:xf numFmtId="0" fontId="3" fillId="25" borderId="3" xfId="0" applyNumberFormat="1" applyFont="1" applyFill="1" applyBorder="1" applyAlignment="1">
      <x:alignment wrapText="1"/>
    </x:xf>
    <x:xf numFmtId="0" fontId="3" fillId="25" borderId="4" xfId="0" applyNumberFormat="1" applyFont="1" applyFill="1" applyBorder="1" applyAlignment="1">
      <x:alignment wrapText="1"/>
    </x:xf>
    <x:xf numFmtId="0" fontId="3" fillId="25" borderId="2" xfId="0" applyNumberFormat="1" applyFont="1" applyFill="1" applyBorder="1" applyAlignment="1">
      <x:alignment vertical="center" wrapText="1"/>
    </x:xf>
    <x:xf numFmtId="0" fontId="3" fillId="25" borderId="3" xfId="0" applyNumberFormat="1" applyFont="1" applyFill="1" applyBorder="1" applyAlignment="1">
      <x:alignment vertical="center" wrapText="1"/>
    </x:xf>
    <x:xf numFmtId="0" fontId="3" fillId="25" borderId="4" xfId="0" applyNumberFormat="1" applyFont="1" applyFill="1" applyBorder="1" applyAlignment="1">
      <x:alignment vertical="center"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vertical="center"/>
    </x:xf>
    <x:xf numFmtId="200" fontId="0" fillId="27" borderId="7" xfId="0" applyNumberFormat="1" applyFont="1" applyFill="1" applyBorder="1" applyAlignment="1">
      <x:alignment wrapText="1"/>
    </x:xf>
    <x:xf numFmtId="200" fontId="0" fillId="27" borderId="10" xfId="0" applyNumberFormat="1" applyFont="1" applyFill="1" applyBorder="1" applyAlignment="1">
      <x:alignment wrapText="1"/>
    </x:xf>
    <x:xf numFmtId="200" fontId="14" fillId="27" borderId="7" xfId="0" applyNumberFormat="1" applyFont="1" applyFill="1" applyBorder="1" applyAlignment="1">
      <x:alignment wrapText="1"/>
    </x:xf>
    <x:xf numFmtId="200" fontId="14" fillId="27" borderId="10" xfId="0" applyNumberFormat="1" applyFont="1" applyFill="1" applyBorder="1" applyAlignment="1">
      <x:alignment wrapText="1"/>
    </x:xf>
    <x:xf numFmtId="200" fontId="0" fillId="24" borderId="10" xfId="0" applyNumberFormat="1" applyFont="1" applyFill="1" applyBorder="1" applyAlignment="1">
      <x:alignment wrapText="1"/>
    </x:xf>
    <x:xf numFmtId="200" fontId="13" fillId="24" borderId="10" xfId="0" applyNumberFormat="1" applyFont="1" applyFill="1" applyBorder="1" applyAlignment="1">
      <x:alignment wrapText="1"/>
    </x:xf>
    <x:xf numFmtId="200" fontId="0" fillId="24" borderId="13" xfId="0" applyNumberFormat="1" applyFont="1" applyFill="1" applyBorder="1" applyAlignment="1">
      <x:alignment wrapText="1"/>
    </x:xf>
    <x:xf numFmtId="200" fontId="13" fillId="24" borderId="13" xfId="0" applyNumberFormat="1" applyFont="1" applyFill="1" applyBorder="1" applyAlignment="1">
      <x:alignment wrapText="1"/>
    </x:xf>
    <x:xf numFmtId="0" fontId="1" fillId="23" borderId="0" xfId="0" applyNumberFormat="1" applyFont="1" applyFill="1" applyBorder="1" applyAlignment="1">
      <x:alignment vertical="center" wrapText="1"/>
    </x:xf>
    <x:xf numFmtId="200" fontId="13" fillId="8" borderId="10" xfId="0" applyNumberFormat="1" applyFont="1" applyFill="1" applyBorder="1" applyAlignment="1">
      <x:alignment wrapText="1"/>
    </x:xf>
    <x:xf numFmtId="0" fontId="2" fillId="28" borderId="0" xfId="0" applyNumberFormat="1" applyFont="1" applyFill="1" applyBorder="1" applyAlignment="1">
      <x:alignment vertical="center"/>
    </x:xf>
    <x:xf numFmtId="0" fontId="0" fillId="28" borderId="0" xfId="0" applyNumberFormat="1" applyFont="1" applyFill="1" applyBorder="1"/>
    <x:xf numFmtId="0" fontId="2" fillId="28" borderId="0" xfId="0" applyNumberFormat="1" applyFont="1" applyFill="1" applyBorder="1"/>
    <x:xf numFmtId="200" fontId="0" fillId="29" borderId="10" xfId="0" applyNumberFormat="1" applyFont="1" applyFill="1" applyBorder="1" applyAlignment="1">
      <x:alignment wrapText="1"/>
    </x:xf>
    <x:xf numFmtId="200" fontId="0" fillId="29" borderId="13" xfId="0" applyNumberFormat="1" applyFont="1" applyFill="1" applyBorder="1" applyAlignment="1">
      <x:alignment wrapText="1"/>
    </x:xf>
    <x:xf numFmtId="200" fontId="13" fillId="29" borderId="10" xfId="0" applyNumberFormat="1" applyFont="1" applyFill="1" applyBorder="1" applyAlignment="1">
      <x:alignment wrapText="1"/>
    </x:xf>
    <x:xf numFmtId="200" fontId="13" fillId="29" borderId="13" xfId="0" applyNumberFormat="1" applyFont="1" applyFill="1" applyBorder="1" applyAlignment="1">
      <x:alignment wrapText="1"/>
    </x:xf>
    <x:xf numFmtId="0" fontId="2" fillId="28" borderId="0" xfId="0" applyNumberFormat="1" applyFont="1" applyFill="1" applyBorder="1" applyAlignment="1">
      <x:alignment vertical="center" wrapText="1"/>
    </x:xf>
    <x:xf numFmtId="200" fontId="13" fillId="8" borderId="13"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2" xfId="0" applyNumberFormat="1" applyFont="1" applyFill="1" applyBorder="1"/>
    <x:xf numFmtId="0" fontId="3" fillId="30" borderId="3" xfId="0" applyNumberFormat="1" applyFont="1" applyFill="1" applyBorder="1"/>
    <x:xf numFmtId="0" fontId="3" fillId="30" borderId="4" xfId="0" applyNumberFormat="1" applyFont="1" applyFill="1" applyBorder="1"/>
    <x:xf numFmtId="0" fontId="3" fillId="30" borderId="2" xfId="0" applyNumberFormat="1" applyFont="1" applyFill="1" applyBorder="1" applyAlignment="1">
      <x:alignment wrapText="1"/>
    </x:xf>
    <x:xf numFmtId="0" fontId="3" fillId="30" borderId="3" xfId="0" applyNumberFormat="1" applyFont="1" applyFill="1" applyBorder="1" applyAlignment="1">
      <x:alignment wrapText="1"/>
    </x:xf>
    <x:xf numFmtId="0" fontId="3" fillId="30" borderId="4" xfId="0" applyNumberFormat="1" applyFont="1" applyFill="1" applyBorder="1" applyAlignment="1">
      <x:alignment wrapText="1"/>
    </x:xf>
    <x:xf numFmtId="0" fontId="3" fillId="30" borderId="2" xfId="0" applyNumberFormat="1" applyFont="1" applyFill="1" applyBorder="1" applyAlignment="1">
      <x:alignment vertical="center" wrapText="1"/>
    </x:xf>
    <x:xf numFmtId="0" fontId="3" fillId="30" borderId="3" xfId="0" applyNumberFormat="1" applyFont="1" applyFill="1" applyBorder="1" applyAlignment="1">
      <x:alignment vertical="center" wrapText="1"/>
    </x:xf>
    <x:xf numFmtId="0" fontId="3" fillId="30" borderId="4" xfId="0" applyNumberFormat="1" applyFont="1" applyFill="1" applyBorder="1" applyAlignment="1">
      <x:alignment vertical="center" wrapText="1"/>
    </x:xf>
    <x:xf numFmtId="0" fontId="2" fillId="31" borderId="0" xfId="0" applyNumberFormat="1" applyFont="1" applyFill="1" applyBorder="1" applyAlignment="1">
      <x:alignment vertical="center" wrapText="1"/>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vertical="center"/>
    </x:xf>
    <x:xf numFmtId="200" fontId="0" fillId="32" borderId="10" xfId="0" applyNumberFormat="1" applyFont="1" applyFill="1" applyBorder="1" applyAlignment="1">
      <x:alignment wrapText="1"/>
    </x:xf>
    <x:xf numFmtId="200" fontId="0" fillId="32" borderId="13" xfId="0" applyNumberFormat="1" applyFont="1" applyFill="1" applyBorder="1" applyAlignment="1">
      <x:alignment wrapText="1"/>
    </x:xf>
    <x:xf numFmtId="200" fontId="13" fillId="32" borderId="10" xfId="0" applyNumberFormat="1" applyFont="1" applyFill="1" applyBorder="1" applyAlignment="1">
      <x:alignment wrapText="1"/>
    </x:xf>
    <x:xf numFmtId="200" fontId="13" fillId="32" borderId="13"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33" borderId="0" xfId="0" applyNumberFormat="1" applyFont="1" applyFill="1" applyBorder="1"/>
    <x:xf numFmtId="0" fontId="3" fillId="33" borderId="0" xfId="0" applyNumberFormat="1" applyFont="1" applyFill="1" applyBorder="1"/>
    <x:xf numFmtId="0" fontId="3" fillId="33" borderId="2" xfId="0" applyNumberFormat="1" applyFont="1" applyFill="1" applyBorder="1"/>
    <x:xf numFmtId="0" fontId="3" fillId="33" borderId="3" xfId="0" applyNumberFormat="1" applyFont="1" applyFill="1" applyBorder="1"/>
    <x:xf numFmtId="0" fontId="3" fillId="33" borderId="4" xfId="0" applyNumberFormat="1" applyFont="1" applyFill="1" applyBorder="1"/>
    <x:xf numFmtId="0" fontId="3" fillId="33" borderId="2" xfId="0" applyNumberFormat="1" applyFont="1" applyFill="1" applyBorder="1" applyAlignment="1">
      <x:alignment wrapText="1"/>
    </x:xf>
    <x:xf numFmtId="0" fontId="3" fillId="33" borderId="3" xfId="0" applyNumberFormat="1" applyFont="1" applyFill="1" applyBorder="1" applyAlignment="1">
      <x:alignment wrapText="1"/>
    </x:xf>
    <x:xf numFmtId="0" fontId="3" fillId="33" borderId="4" xfId="0" applyNumberFormat="1" applyFont="1" applyFill="1" applyBorder="1" applyAlignment="1">
      <x:alignment wrapText="1"/>
    </x:xf>
    <x:xf numFmtId="0" fontId="3" fillId="33" borderId="2" xfId="0" applyNumberFormat="1" applyFont="1" applyFill="1" applyBorder="1" applyAlignment="1">
      <x:alignment vertical="center" wrapText="1"/>
    </x:xf>
    <x:xf numFmtId="0" fontId="3" fillId="33" borderId="3" xfId="0" applyNumberFormat="1" applyFont="1" applyFill="1" applyBorder="1" applyAlignment="1">
      <x:alignment vertical="center" wrapText="1"/>
    </x:xf>
    <x:xf numFmtId="0" fontId="3" fillId="33" borderId="4"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2" fillId="34" borderId="0" xfId="0" applyNumberFormat="1" applyFont="1" applyFill="1" applyBorder="1" applyAlignment="1">
      <x:alignment vertical="center" wrapText="1"/>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vertical="center"/>
    </x:xf>
    <x:xf numFmtId="200" fontId="0" fillId="35" borderId="10" xfId="0" applyNumberFormat="1" applyFont="1" applyFill="1" applyBorder="1" applyAlignment="1">
      <x:alignment wrapText="1"/>
    </x:xf>
    <x:xf numFmtId="200" fontId="0" fillId="35" borderId="13" xfId="0" applyNumberFormat="1" applyFont="1" applyFill="1" applyBorder="1" applyAlignment="1">
      <x:alignment wrapText="1"/>
    </x:xf>
    <x:xf numFmtId="200" fontId="13" fillId="35" borderId="10" xfId="0" applyNumberFormat="1" applyFont="1" applyFill="1" applyBorder="1" applyAlignment="1">
      <x:alignment wrapText="1"/>
    </x:xf>
    <x:xf numFmtId="200" fontId="13" fillId="35" borderId="13"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2" xfId="0" applyNumberFormat="1" applyFont="1" applyFill="1" applyBorder="1"/>
    <x:xf numFmtId="0" fontId="3" fillId="36" borderId="3" xfId="0" applyNumberFormat="1" applyFont="1" applyFill="1" applyBorder="1"/>
    <x:xf numFmtId="0" fontId="3" fillId="36" borderId="4" xfId="0" applyNumberFormat="1" applyFont="1" applyFill="1" applyBorder="1"/>
    <x:xf numFmtId="0" fontId="3" fillId="36" borderId="2" xfId="0" applyNumberFormat="1" applyFont="1" applyFill="1" applyBorder="1" applyAlignment="1">
      <x:alignment wrapText="1"/>
    </x:xf>
    <x:xf numFmtId="0" fontId="3" fillId="36" borderId="3" xfId="0" applyNumberFormat="1" applyFont="1" applyFill="1" applyBorder="1" applyAlignment="1">
      <x:alignment wrapText="1"/>
    </x:xf>
    <x:xf numFmtId="0" fontId="3" fillId="36" borderId="4" xfId="0" applyNumberFormat="1" applyFont="1" applyFill="1" applyBorder="1" applyAlignment="1">
      <x:alignment wrapText="1"/>
    </x:xf>
    <x:xf numFmtId="0" fontId="3" fillId="36" borderId="2" xfId="0" applyNumberFormat="1" applyFont="1" applyFill="1" applyBorder="1" applyAlignment="1">
      <x:alignment vertical="center" wrapText="1"/>
    </x:xf>
    <x:xf numFmtId="0" fontId="3" fillId="36" borderId="3" xfId="0" applyNumberFormat="1" applyFont="1" applyFill="1" applyBorder="1" applyAlignment="1">
      <x:alignment vertical="center" wrapText="1"/>
    </x:xf>
    <x:xf numFmtId="0" fontId="3" fillId="36" borderId="4" xfId="0" applyNumberFormat="1" applyFont="1" applyFill="1" applyBorder="1" applyAlignment="1">
      <x:alignment vertical="center" wrapText="1"/>
    </x:xf>
    <x:xf numFmtId="0" fontId="2" fillId="37" borderId="0" xfId="0" applyNumberFormat="1" applyFont="1" applyFill="1" applyBorder="1" applyAlignment="1">
      <x:alignment vertical="center" wrapText="1"/>
    </x:xf>
    <x:xf numFmtId="200" fontId="13" fillId="38" borderId="10" xfId="0" applyNumberFormat="1" applyFont="1" applyFill="1" applyBorder="1" applyAlignment="1">
      <x:alignment wrapText="1"/>
    </x:xf>
    <x:xf numFmtId="200" fontId="13" fillId="38" borderId="13" xfId="0" applyNumberFormat="1" applyFont="1" applyFill="1" applyBorder="1" applyAlignment="1">
      <x:alignment wrapText="1"/>
    </x:xf>
    <x:xf numFmtId="200" fontId="14" fillId="38" borderId="10" xfId="0" applyNumberFormat="1" applyFont="1" applyFill="1" applyBorder="1" applyAlignment="1">
      <x:alignment wrapText="1"/>
    </x:xf>
    <x:xf numFmtId="200" fontId="14" fillId="38" borderId="13" xfId="0" applyNumberFormat="1" applyFont="1" applyFill="1" applyBorder="1" applyAlignment="1">
      <x:alignment wrapText="1"/>
    </x:xf>
    <x:xf numFmtId="0" fontId="0" fillId="39" borderId="0" xfId="0" applyNumberFormat="1" applyFont="1" applyFill="1" applyBorder="1"/>
    <x:xf numFmtId="0" fontId="2" fillId="39" borderId="0" xfId="0" applyNumberFormat="1" applyFont="1" applyFill="1" applyBorder="1"/>
    <x:xf numFmtId="0" fontId="2" fillId="39" borderId="0" xfId="0" applyNumberFormat="1" applyFont="1" applyFill="1" applyBorder="1" applyAlignment="1">
      <x:alignment vertical="center"/>
    </x:xf>
    <x:xf numFmtId="203" fontId="0" fillId="0" borderId="0" xfId="0" applyNumberFormat="1" applyFont="1" applyFill="1" applyBorder="1"/>
    <x:xf numFmtId="203" fontId="0" fillId="40" borderId="0" xfId="0" applyNumberFormat="1" applyFont="1" applyFill="1" applyBorder="1"/>
    <x:xf numFmtId="203" fontId="14" fillId="40" borderId="0" xfId="0" applyNumberFormat="1" applyFont="1" applyFill="1" applyBorder="1"/>
    <x:xf numFmtId="200" fontId="14" fillId="22" borderId="13" xfId="0" applyNumberFormat="1" applyFont="1" applyFill="1" applyBorder="1" applyAlignment="1">
      <x:alignment wrapText="1"/>
    </x:xf>
    <x:xf numFmtId="0" fontId="2" fillId="39"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14" fillId="40" borderId="0" xfId="0" applyNumberFormat="1" applyFont="1" applyFill="1" applyBorder="1" applyAlignment="1">
      <x:alignment wrapText="1"/>
    </x:xf>
    <x:xf numFmtId="203" fontId="13" fillId="8" borderId="3" xfId="0" applyNumberFormat="1" applyFont="1" applyFill="1" applyBorder="1" applyAlignment="1">
      <x:alignment wrapText="1"/>
    </x:xf>
    <x:xf numFmtId="0" fontId="2" fillId="41" borderId="0" xfId="0" applyNumberFormat="1" applyFont="1" applyFill="1" applyBorder="1" applyAlignment="1">
      <x:alignment vertical="center" wrapText="1"/>
    </x:xf>
    <x:xf numFmtId="203" fontId="14" fillId="22" borderId="0" xfId="0" applyNumberFormat="1" applyFont="1" applyFill="1" applyBorder="1" applyAlignment="1">
      <x:alignment wrapText="1"/>
    </x:xf>
    <x:xf numFmtId="203" fontId="14" fillId="42" borderId="0" xfId="0" applyNumberFormat="1" applyFont="1" applyFill="1" applyBorder="1" applyAlignment="1">
      <x:alignment wrapText="1"/>
    </x:xf>
    <x:xf numFmtId="0" fontId="2" fillId="43" borderId="0" xfId="0" applyNumberFormat="1" applyFont="1" applyFill="1" applyBorder="1" applyAlignment="1">
      <x:alignment vertical="center" wrapText="1"/>
    </x:xf>
    <x:xf numFmtId="203" fontId="14" fillId="44" borderId="0" xfId="0" applyNumberFormat="1" applyFont="1" applyFill="1" applyBorder="1" applyAlignment="1">
      <x:alignment wrapText="1"/>
    </x:xf>
    <x:xf numFmtId="164" fontId="0" fillId="0" borderId="0" xfId="0" applyNumberFormat="1" applyFont="1" applyFill="1" applyBorder="1" applyAlignment="1">
      <x:alignment vertical="top" wrapText="1"/>
    </x:xf>
  </x:cellXfs>
  <x:cellStyles count="1">
    <x:cellStyle name="Normal" xfId="0"/>
  </x:cellStyles>
  <x:dxfs count="17">
    <x:dxf>
      <x:font>
        <x:b/>
        <x:color rgb="FF274E13"/>
      </x:font>
      <x:fill>
        <x:patternFill>
          <x:bgColor rgb="FFD9EAD3"/>
        </x:patternFill>
      </x:fill>
    </x:dxf>
    <x:dxf>
      <x:font>
        <x:b/>
        <x:color rgb="FF7F6000"/>
      </x:font>
      <x:fill>
        <x:patternFill>
          <x:bgColor rgb="FFFCE5CD"/>
        </x:patternFill>
      </x:fill>
    </x:dxf>
    <x:dxf>
      <x:fill>
        <x:patternFill>
          <x:bgColor rgb="FFFCE5CD"/>
        </x:patternFill>
      </x:fill>
    </x:dxf>
    <x:dxf>
      <x:font>
        <x:b/>
      </x:font>
      <x:fill>
        <x:patternFill>
          <x:bgColor rgb="FFD9EAD3"/>
        </x:patternFill>
      </x:fill>
    </x:dxf>
    <x:dxf>
      <x:font>
        <x:b/>
      </x:font>
      <x:fill>
        <x:patternFill>
          <x:bgColor rgb="FFF4CCCC"/>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color rgb="FF375623"/>
      </x:font>
      <x:fill>
        <x:patternFill>
          <x:bgColor rgb="FFE2F0D9"/>
        </x:patternFill>
      </x:fill>
    </x:dxf>
    <x:dxf>
      <x:font>
        <x:color rgb="FF7F6000"/>
      </x:font>
      <x:fill>
        <x:patternFill>
          <x:bgColor rgb="FFFFF2CC"/>
        </x:patternFill>
      </x:fill>
    </x:dxf>
    <x:dxf>
      <x:font>
        <x:color rgb="FF9C0006"/>
      </x:font>
      <x:fill>
        <x:patternFill>
          <x:bgColor rgb="FFFCE4D6"/>
        </x:patternFill>
      </x:fill>
    </x:dxf>
    <x:dxf>
      <x:font>
        <x:color rgb="FF375623"/>
      </x:font>
      <x:fill>
        <x:patternFill>
          <x:bgColor rgb="FFE2F0D9"/>
        </x:patternFill>
      </x:fill>
    </x:dxf>
    <x:dxf>
      <x:font>
        <x:color rgb="FF1F4E78"/>
      </x:font>
      <x:fill>
        <x:patternFill>
          <x:bgColor rgb="FFD9EAF7"/>
        </x:patternFill>
      </x:fill>
    </x:dxf>
    <x:dxf>
      <x:font>
        <x:color rgb="FF9C0006"/>
      </x:font>
      <x:fill>
        <x:patternFill>
          <x:bgColor rgb="FFFCE4D6"/>
        </x:patternFill>
      </x:fill>
    </x:dxf>
    <x:dxf>
      <x:font>
        <x:color rgb="FF375623"/>
      </x:font>
      <x:fill>
        <x:patternFill>
          <x:bgColor rgb="FFE2F0D9"/>
        </x:patternFill>
      </x:fill>
    </x:dxf>
    <x:dxf>
      <x:font>
        <x:color rgb="FF1F4E78"/>
      </x:font>
      <x:fill>
        <x:patternFill>
          <x:bgColor rgb="FFD9EAF7"/>
        </x:patternFill>
      </x:fill>
    </x:dxf>
    <x:dxf>
      <x:font>
        <x:color rgb="FF9C0006"/>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7169edb627a4888" /><Relationship Type="http://schemas.openxmlformats.org/officeDocument/2006/relationships/theme" Target="/xl/theme/theme1.xml" Id="R217e2cd3740e420c" /><Relationship Type="http://schemas.openxmlformats.org/officeDocument/2006/relationships/sharedStrings" Target="/xl/sharedStrings.xml" Id="R97a0dd0be3f44f92" /><Relationship Type="http://schemas.openxmlformats.org/officeDocument/2006/relationships/worksheet" Target="/xl/worksheets/sheet1.xml" Id="R25bde1780882414a" /><Relationship Type="http://schemas.openxmlformats.org/officeDocument/2006/relationships/worksheet" Target="/xl/worksheets/sheet2.xml" Id="Re7908410721d4f90" /><Relationship Type="http://schemas.openxmlformats.org/officeDocument/2006/relationships/worksheet" Target="/xl/worksheets/sheet3.xml" Id="R3b455d177ab64146" /><Relationship Type="http://schemas.openxmlformats.org/officeDocument/2006/relationships/worksheet" Target="/xl/worksheets/sheet4.xml" Id="Rb7a24c0890044062" /><Relationship Type="http://schemas.openxmlformats.org/officeDocument/2006/relationships/worksheet" Target="/xl/worksheets/sheet5.xml" Id="R51bb39bd551b4431" /><Relationship Type="http://schemas.openxmlformats.org/officeDocument/2006/relationships/worksheet" Target="/xl/worksheets/sheet6.xml" Id="R7c90d73a2799405b" /><Relationship Type="http://schemas.openxmlformats.org/officeDocument/2006/relationships/worksheet" Target="/xl/worksheets/sheet7.xml" Id="R2e360cde33dd40b6" /><Relationship Type="http://schemas.openxmlformats.org/officeDocument/2006/relationships/worksheet" Target="/xl/worksheets/sheet8.xml" Id="R48bb77fa33a243ef" /><Relationship Type="http://schemas.openxmlformats.org/officeDocument/2006/relationships/worksheet" Target="/xl/worksheets/sheet9.xml" Id="R21954db5f6ec4f86" /><Relationship Type="http://schemas.openxmlformats.org/officeDocument/2006/relationships/worksheet" Target="/xl/worksheets/sheet10.xml" Id="Rb4611fc9255e4ec8" /><Relationship Type="http://schemas.openxmlformats.org/officeDocument/2006/relationships/worksheet" Target="/xl/worksheets/sheet11.xml" Id="R5145d3d85b474ca6"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246d21dce34e7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Exercises Logged by Workout</a:t>
            </a:r>
          </a:p>
        </c:rich>
      </c:tx>
      <c:overlay val="0"/>
    </c:title>
    <c:plotArea>
      <c:barChart>
        <c:barDir val="col"/>
        <c:varyColors val="0"/>
        <c:ser>
          <c:idx val="0"/>
          <c:order val="0"/>
          <c:tx>
            <c:v>Exercises</c:v>
          </c:tx>
          <c:cat>
            <c:strRef>
              <c:f>'Dashboard'!$K$2:$K$7</c:f>
              <c:strCache>
                <c:ptCount val="0"/>
              </c:strCache>
            </c:strRef>
          </c:cat>
          <c:val>
            <c:numRef>
              <c:f>'Dashboard'!$L$2:$L$7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26</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246d21dce34e74"/>
        </a:graphicData>
      </a:graphic>
    </xdr:graphicFrame>
    <xdr:clientData/>
  </xdr:twoCellAnchor>
</xdr:wsDr>
</file>

<file path=xl/tables/table1.xml><?xml version="1.0" encoding="utf-8"?>
<x:table xmlns:x="http://schemas.openxmlformats.org/spreadsheetml/2006/main" id="28" name="WorkoutJournalTable" displayName="WorkoutJournalTable" ref="A4:N522" headerRowCount="1" totalsRowCount="0" totalsRowShown="0">
  <x:tableColumns count="14">
    <x:tableColumn id="1" name="Date"/>
    <x:tableColumn id="2" name="Workout"/>
    <x:tableColumn id="3" name="Exercise"/>
    <x:tableColumn id="4" name="Set"/>
    <x:tableColumn id="5" name="Weight"/>
    <x:tableColumn id="6" name="Unit / Load Basis"/>
    <x:tableColumn id="7" name="Reps"/>
    <x:tableColumn id="8" name="Form Note"/>
    <x:tableColumn id="9" name="Pain / Soreness"/>
    <x:tableColumn id="10" name="Energy"/>
    <x:tableColumn id="11" name="Sleep"/>
    <x:tableColumn id="12" name="Coach Note"/>
    <x:tableColumn id="13" name="Set Type"/>
    <x:tableColumn id="14" name="RIR"/>
  </x:tableColumns>
  <x:tableStyleInfo name="TableStyleMedium2" showFirstColumn="0" showLastColumn="0" showRowStripes="1" showColumnStripes="0"/>
</x:table>
</file>

<file path=xl/tables/table2.xml><?xml version="1.0" encoding="utf-8"?>
<x:table xmlns:x="http://schemas.openxmlformats.org/spreadsheetml/2006/main" id="31" name="ExerciseTargetsTable" displayName="ExerciseTargetsTable" ref="A4:I51" headerRowCount="1" totalsRowCount="0" totalsRowShown="0">
  <x:tableColumns count="9">
    <x:tableColumn id="1" name="Muscle"/>
    <x:tableColumn id="2" name="Exercise"/>
    <x:tableColumn id="3" name="Current Best Set"/>
    <x:tableColumn id="4" name="Current Working Zone"/>
    <x:tableColumn id="5" name="Next Target"/>
    <x:tableColumn id="6" name="Progress Rule"/>
    <x:tableColumn id="7" name="Technique Focus"/>
    <x:tableColumn id="8" name="Status"/>
    <x:tableColumn id="9" name="Notes"/>
  </x:tableColumns>
  <x:tableStyleInfo name="TableStyleMedium2" showFirstColumn="0" showLastColumn="0" showRowStripes="1" showColumnStripes="0"/>
</x:table>
</file>

<file path=xl/tables/table3.xml><?xml version="1.0" encoding="utf-8"?>
<x:table xmlns:x="http://schemas.openxmlformats.org/spreadsheetml/2006/main" id="33" name="RecoveryTable" displayName="RecoveryTable" ref="A4:J32" headerRowCount="1" totalsRowCount="0" totalsRowShown="0">
  <x:tableColumns count="10">
    <x:tableColumn id="1" name="Date"/>
    <x:tableColumn id="2" name="Weight (kg)"/>
    <x:tableColumn id="3" name="Waist (cm)"/>
    <x:tableColumn id="4" name="Sleep"/>
    <x:tableColumn id="5" name="Energy"/>
    <x:tableColumn id="6" name="Soreness / Pain"/>
    <x:tableColumn id="7" name="Protein (g)"/>
    <x:tableColumn id="8" name="Water (L)"/>
    <x:tableColumn id="9" name="Steps / Cardio"/>
    <x:tableColumn id="10" name="Notes"/>
  </x:tableColumns>
  <x:tableStyleInfo name="TableStyleMedium2" showFirstColumn="0" showLastColumn="0" showRowStripes="1" showColumnStripes="0"/>
</x:table>
</file>

<file path=xl/tables/table4.xml><?xml version="1.0" encoding="utf-8"?>
<x:table xmlns:x="http://schemas.openxmlformats.org/spreadsheetml/2006/main" id="45" name="ProgramNotesTable" displayName="ProgramNotesTable" ref="A4:D96" headerRowCount="1" totalsRowCount="0" totalsRowShown="0">
  <x:tableColumns count="4">
    <x:tableColumn id="1" name="Category"/>
    <x:tableColumn id="2" name="Rule / Observation"/>
    <x:tableColumn id="3" name="Why It Matters"/>
    <x:tableColumn id="4" name="Action"/>
  </x:tableColumns>
  <x:tableStyleInfo name="TableStyleMedium2" showFirstColumn="0" showLastColumn="0" showRowStripes="1" showColumnStripes="0"/>
</x:table>
</file>

<file path=xl/tables/table5.xml><?xml version="1.0" encoding="utf-8"?>
<x:table xmlns:x="http://schemas.openxmlformats.org/spreadsheetml/2006/main" id="30" name="SessionSummaryTable" displayName="SessionSummaryTable" ref="A4:H30" headerRowCount="1" totalsRowCount="0" totalsRowShown="0">
  <x:tableColumns count="8">
    <x:tableColumn id="1" name="Date"/>
    <x:tableColumn id="2" name="Workout"/>
    <x:tableColumn id="3" name="Exercises"/>
    <x:tableColumn id="4" name="Set Entries"/>
    <x:tableColumn id="5" name="Readiness"/>
    <x:tableColumn id="6" name="Recovery Notes"/>
    <x:tableColumn id="7" name="Coach Assessment"/>
    <x:tableColumn id="8" name="Next-Session Status"/>
  </x:tableColumns>
  <x:tableStyleInfo name="TableStyleMedium2" showFirstColumn="0" showLastColumn="0" showRowStripes="1" showColumnStripes="0"/>
</x:table>
</file>

<file path=xl/tables/table6.xml><?xml version="1.0" encoding="utf-8"?>
<x:table xmlns:x="http://schemas.openxmlformats.org/spreadsheetml/2006/main" id="14" name="CoachingProfileTable" displayName="CoachingProfileTable" ref="A4:E31" headerRowCount="1" totalsRowCount="0" totalsRowShown="0">
  <x:tableColumns count="5">
    <x:tableColumn id="1" name="Category"/>
    <x:tableColumn id="2" name="Item"/>
    <x:tableColumn id="3" name="Current Value"/>
    <x:tableColumn id="4" name="Status"/>
    <x:tableColumn id="5" name="Why Needed / Next Check"/>
  </x:tableColumns>
  <x:tableStyleInfo name="TableStyleMedium2" showFirstColumn="0" showLastColumn="0" showRowStripes="1" showColumnStripes="0"/>
</x:table>
</file>

<file path=xl/tables/table7.xml><?xml version="1.0" encoding="utf-8"?>
<x:table xmlns:x="http://schemas.openxmlformats.org/spreadsheetml/2006/main" id="15" name="MealPlanTable" displayName="MealPlanTable" ref="A15:H23" headerRowCount="1" totalsRowCount="0" totalsRowShown="0">
  <x:tableColumns count="8">
    <x:tableColumn id="1" name="Meal"/>
    <x:tableColumn id="2" name="Typical Time"/>
    <x:tableColumn id="3" name="Foods / Portions"/>
    <x:tableColumn id="4" name="Explicit Protein (g)"/>
    <x:tableColumn id="5" name="Calories"/>
    <x:tableColumn id="6" name="Status"/>
    <x:tableColumn id="7" name="To Verify"/>
    <x:tableColumn id="8" name="Coach Notes"/>
  </x:tableColumns>
  <x:tableStyleInfo name="TableStyleMedium2" showFirstColumn="0" showLastColumn="0" showRowStripes="1" showColumnStripes="0"/>
</x:table>
</file>

<file path=xl/tables/table8.xml><?xml version="1.0" encoding="utf-8"?>
<x:table xmlns:x="http://schemas.openxmlformats.org/spreadsheetml/2006/main" id="16" name="NutritionLogTable" displayName="NutritionLogTable" ref="A28:H29" headerRowCount="1" totalsRowCount="0" totalsRowShown="0">
  <x:tableColumns count="8">
    <x:tableColumn id="1" name="Date"/>
    <x:tableColumn id="2" name="Protein (g)"/>
    <x:tableColumn id="3" name="Calories"/>
    <x:tableColumn id="4" name="Water (L)"/>
    <x:tableColumn id="5" name="Steps"/>
    <x:tableColumn id="6" name="Cardio"/>
    <x:tableColumn id="7" name="Plan Adherence"/>
    <x:tableColumn id="8" name="Notes"/>
  </x:tableColumns>
  <x:tableStyleInfo name="TableStyleMedium2" showFirstColumn="0" showLastColumn="0" showRowStripes="1" showColumnStripes="0"/>
</x:table>
</file>

<file path=xl/tables/table9.xml><?xml version="1.0" encoding="utf-8"?>
<x:table xmlns:x="http://schemas.openxmlformats.org/spreadsheetml/2006/main" id="18" name="SupplementLabelTable" displayName="SupplementLabelTable" ref="A32:D39" headerRowCount="1" totalsRowCount="0" totalsRowShown="0">
  <x:tableColumns count="4">
    <x:tableColumn id="1" name="Product"/>
    <x:tableColumn id="2" name="Label Field"/>
    <x:tableColumn id="3" name="Verified Value"/>
    <x:tableColumn id="4" name="Evidence / Status"/>
  </x:tableColumns>
  <x:tableStyleInfo name="TableStyleMedium2" showFirstColumn="0" showLastColumn="0" showRowStripes="1" showColumnStripes="0"/>
</x:table>
</file>

<file path=xl/tables/table10.xml><?xml version="1.0" encoding="utf-8"?>
<x:table xmlns:x="http://schemas.openxmlformats.org/spreadsheetml/2006/main" id="44" name="FoodLabelTable" displayName="FoodLabelTable" ref="A42:D49" headerRowCount="1" totalsRowCount="0" totalsRowShown="0">
  <x:tableColumns count="4">
    <x:tableColumn id="1" name="Product"/>
    <x:tableColumn id="2" name="Label / portion field"/>
    <x:tableColumn id="3" name="Verified value"/>
    <x:tableColumn id="4" name="Evidence / status"/>
  </x:tableColumns>
  <x:tableStyleInfo name="TableStyleMedium2" showFirstColumn="0" showLastColumn="0" showRowStripes="1" showColumnStripes="0"/>
</x:table>
</file>

<file path=xl/tables/table11.xml><?xml version="1.0" encoding="utf-8"?>
<x:table xmlns:x="http://schemas.openxmlformats.org/spreadsheetml/2006/main" id="34" name="PhotoMeasurementTable" displayName="PhotoMeasurementTable" ref="A4:K8" headerRowCount="1" totalsRowCount="0" totalsRowShown="0">
  <x:tableColumns count="11">
    <x:tableColumn id="1" name="Date"/>
    <x:tableColumn id="2" name="Weight (kg)"/>
    <x:tableColumn id="3" name="Waist (cm)"/>
    <x:tableColumn id="4" name="Chest (cm)"/>
    <x:tableColumn id="5" name="Arm (cm)"/>
    <x:tableColumn id="6" name="Thigh (cm)"/>
    <x:tableColumn id="7" name="Front Photo"/>
    <x:tableColumn id="8" name="Side Photo"/>
    <x:tableColumn id="9" name="Back Photo"/>
    <x:tableColumn id="10" name="Conditions / Notes"/>
    <x:tableColumn id="11" name="Status"/>
  </x:tableColumns>
  <x:tableStyleInfo name="TableStyleMedium2" showFirstColumn="0" showLastColumn="0" showRowStripes="1" showColumnStripes="0"/>
</x:table>
</file>

<file path=xl/tables/table12.xml><?xml version="1.0" encoding="utf-8"?>
<x:table xmlns:x="http://schemas.openxmlformats.org/spreadsheetml/2006/main" id="38" name="ProteinCalculatorTable" displayName="ProteinCalculatorTable" ref="A5:I19" headerRowCount="1" totalsRowCount="0" totalsRowShown="0">
  <x:tableColumns count="9">
    <x:tableColumn id="1" name="Meal"/>
    <x:tableColumn id="2" name="Food"/>
    <x:tableColumn id="3" name="Quantity"/>
    <x:tableColumn id="4" name="Unit"/>
    <x:tableColumn id="5" name="Protein basis (g)"/>
    <x:tableColumn id="6" name="Basis quantity"/>
    <x:tableColumn id="7" name="Calculated protein (g)"/>
    <x:tableColumn id="8" name="Status"/>
    <x:tableColumn id="9" name="Evidence / missing in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505cd8568a5b4cb9" /></Relationships>
</file>

<file path=xl/worksheets/_rels/sheet3.xml.rels>&#65279;<?xml version="1.0" encoding="utf-8"?><Relationships xmlns="http://schemas.openxmlformats.org/package/2006/relationships"><Relationship Type="http://schemas.openxmlformats.org/officeDocument/2006/relationships/table" Target="/xl/tables/table1.xml" Id="R225780325b944d78" /></Relationships>
</file>

<file path=xl/worksheets/_rels/sheet4.xml.rels>&#65279;<?xml version="1.0" encoding="utf-8"?><Relationships xmlns="http://schemas.openxmlformats.org/package/2006/relationships"><Relationship Type="http://schemas.openxmlformats.org/officeDocument/2006/relationships/table" Target="/xl/tables/table2.xml" Id="Rc5b8a727b7d243d8" /></Relationships>
</file>

<file path=xl/worksheets/_rels/sheet5.xml.rels>&#65279;<?xml version="1.0" encoding="utf-8"?><Relationships xmlns="http://schemas.openxmlformats.org/package/2006/relationships"><Relationship Type="http://schemas.openxmlformats.org/officeDocument/2006/relationships/table" Target="/xl/tables/table3.xml" Id="R2860e484e07a4b58" /></Relationships>
</file>

<file path=xl/worksheets/_rels/sheet6.xml.rels>&#65279;<?xml version="1.0" encoding="utf-8"?><Relationships xmlns="http://schemas.openxmlformats.org/package/2006/relationships"><Relationship Type="http://schemas.openxmlformats.org/officeDocument/2006/relationships/table" Target="/xl/tables/table4.xml" Id="R3f393a3d937841b3" /></Relationships>
</file>

<file path=xl/worksheets/_rels/sheet7.xml.rels>&#65279;<?xml version="1.0" encoding="utf-8"?><Relationships xmlns="http://schemas.openxmlformats.org/package/2006/relationships"><Relationship Type="http://schemas.openxmlformats.org/officeDocument/2006/relationships/table" Target="/xl/tables/table5.xml" Id="Red70f3afc57f484c" /></Relationships>
</file>

<file path=xl/worksheets/_rels/sheet8.xml.rels>&#65279;<?xml version="1.0" encoding="utf-8"?><Relationships xmlns="http://schemas.openxmlformats.org/package/2006/relationships"><Relationship Type="http://schemas.openxmlformats.org/officeDocument/2006/relationships/table" Target="/xl/tables/table6.xml" Id="Rce14ab8a42494eb8" /></Relationships>
</file>

<file path=xl/worksheets/_rels/sheet9.xml.rels>&#65279;<?xml version="1.0" encoding="utf-8"?><Relationships xmlns="http://schemas.openxmlformats.org/package/2006/relationships"><Relationship Type="http://schemas.openxmlformats.org/officeDocument/2006/relationships/table" Target="/xl/tables/table7.xml" Id="Re5932c49ecb14278" /><Relationship Type="http://schemas.openxmlformats.org/officeDocument/2006/relationships/table" Target="/xl/tables/table8.xml" Id="Ra0555e607cad470d" /><Relationship Type="http://schemas.openxmlformats.org/officeDocument/2006/relationships/table" Target="/xl/tables/table9.xml" Id="R2564ddcfaf044283" /><Relationship Type="http://schemas.openxmlformats.org/officeDocument/2006/relationships/table" Target="/xl/tables/table10.xml" Id="R9fbb91674952403d" /></Relationships>
</file>

<file path=xl/worksheets/_rels/sheet10.xml.rels>&#65279;<?xml version="1.0" encoding="utf-8"?><Relationships xmlns="http://schemas.openxmlformats.org/package/2006/relationships"><Relationship Type="http://schemas.openxmlformats.org/officeDocument/2006/relationships/table" Target="/xl/tables/table11.xml" Id="Rd7c092a1ca724cae" /></Relationships>
</file>

<file path=xl/worksheets/_rels/sheet11.xml.rels>&#65279;<?xml version="1.0" encoding="utf-8"?><Relationships xmlns="http://schemas.openxmlformats.org/package/2006/relationships"><Relationship Type="http://schemas.openxmlformats.org/officeDocument/2006/relationships/table" Target="/xl/tables/table12.xml" Id="Ra0aa34563b20425b" /></Relationships>
</file>

<file path=xl/worksheets/sheet1.xml><?xml version="1.0" encoding="utf-8"?>
<x:worksheet xmlns:x="http://schemas.openxmlformats.org/spreadsheetml/2006/main">
  <x:sheetFormatPr baseColWidth="8" defaultRowHeight="15"/>
  <x:cols>
    <x:col min="1" max="1" width="28" customWidth="1"/>
    <x:col min="2" max="2" width="15" customWidth="1"/>
    <x:col min="3" max="3" width="15" customWidth="1"/>
    <x:col min="4" max="4" width="15" customWidth="1"/>
    <x:col min="5" max="5" width="15" customWidth="1"/>
    <x:col min="6" max="6" width="15" customWidth="1"/>
    <x:col min="7" max="7" width="15" customWidth="1"/>
    <x:col min="8" max="8" width="15" customWidth="1"/>
  </x:cols>
  <x:sheetData>
    <x:row r="1">
      <x:c r="A1" s="88" t="inlineStr">
        <x:is>
          <x:t xml:space="preserve">Vipin Gym Tracker — Portable Coaching Files</x:t>
        </x:is>
      </x:c>
      <x:c r="B1" s="53" t="n"/>
      <x:c r="C1" s="53" t="n"/>
      <x:c r="D1" s="53" t="n"/>
      <x:c r="E1" s="53" t="n"/>
      <x:c r="F1" s="53" t="n"/>
      <x:c r="G1" s="53" t="n"/>
      <x:c r="H1" s="53" t="n"/>
    </x:row>
    <x:row r="2">
      <x:c r="A2" s="53" t="n"/>
      <x:c r="B2" s="53" t="n"/>
      <x:c r="C2" s="53" t="n"/>
      <x:c r="D2" s="53" t="n"/>
      <x:c r="E2" s="53" t="n"/>
      <x:c r="F2" s="53" t="n"/>
      <x:c r="G2" s="53" t="n"/>
      <x:c r="H2" s="53" t="n"/>
    </x:row>
    <x:row r="3">
      <x:c r="A3" s="50" t="n"/>
      <x:c r="B3" s="50" t="n"/>
      <x:c r="C3" s="50" t="n"/>
      <x:c r="D3" s="50" t="n"/>
      <x:c r="E3" s="50" t="n"/>
      <x:c r="F3" s="50" t="n"/>
      <x:c r="G3" s="50" t="n"/>
      <x:c r="H3" s="50" t="n"/>
    </x:row>
    <x:row r="4" ht="15" hidden="0" customHeight="1">
      <x:c r="A4" s="169" t="str">
        <x:v>Keep this workbook together with Vipin_Gym_Codex_Context_2026-08-07.md.</x:v>
      </x:c>
      <x:c r="B4" s="169"/>
      <x:c r="C4" s="169"/>
      <x:c r="D4" s="169"/>
      <x:c r="E4" s="169"/>
      <x:c r="F4" s="169"/>
      <x:c r="G4" s="169"/>
      <x:c r="H4" s="169"/>
    </x:row>
    <x:row r="5" ht="15" hidden="0" customHeight="1">
      <x:c r="A5" s="169" t="str">
        <x:v>Before workout: record sleep, energy, soreness/pain, weakness, and movement restriction.</x:v>
      </x:c>
      <x:c r="B5" s="169"/>
      <x:c r="C5" s="169"/>
      <x:c r="D5" s="169"/>
      <x:c r="E5" s="169"/>
      <x:c r="F5" s="169"/>
      <x:c r="G5" s="169"/>
      <x:c r="H5" s="169"/>
    </x:row>
    <x:row r="6" ht="15" hidden="0" customHeight="1">
      <x:c r="A6" s="169" t="str">
        <x:v>During workout: record every set, weight basis, reps, form/assistance, Set Type, and RIR.</x:v>
      </x:c>
      <x:c r="B6" s="169"/>
      <x:c r="C6" s="169"/>
      <x:c r="D6" s="169"/>
      <x:c r="E6" s="169"/>
      <x:c r="F6" s="169"/>
      <x:c r="G6" s="169"/>
      <x:c r="H6" s="169"/>
    </x:row>
    <x:row r="7" ht="15" hidden="0" customHeight="1">
      <x:c r="A7" s="169" t="str">
        <x:v>After workout: update Session Summary, Exercise Targets, recovery, and coaching notes.</x:v>
      </x:c>
      <x:c r="B7" s="169"/>
      <x:c r="C7" s="169"/>
      <x:c r="D7" s="169"/>
      <x:c r="E7" s="169"/>
      <x:c r="F7" s="169"/>
      <x:c r="G7" s="169"/>
      <x:c r="H7" s="169"/>
    </x:row>
    <x:row r="8" ht="15" hidden="0" customHeight="1">
      <x:c r="A8" s="169" t="str">
        <x:v>Weekly: review average morning weight, Sunday waist, steps/cardio, protein adherence, and performance.</x:v>
      </x:c>
      <x:c r="B8" s="169"/>
      <x:c r="C8" s="169"/>
      <x:c r="D8" s="169"/>
      <x:c r="E8" s="169"/>
      <x:c r="F8" s="169"/>
      <x:c r="G8" s="169"/>
      <x:c r="H8" s="169"/>
    </x:row>
    <x:row r="9" ht="15" hidden="0" customHeight="1">
      <x:c r="A9" s="169" t="str">
        <x:v>Every ~4 weeks: add standardized front, side, and back progress-photo references.</x:v>
      </x:c>
      <x:c r="B9" s="169"/>
      <x:c r="C9" s="169"/>
      <x:c r="D9" s="169"/>
      <x:c r="E9" s="169"/>
      <x:c r="F9" s="169"/>
      <x:c r="G9" s="169"/>
      <x:c r="H9" s="169"/>
    </x:row>
    <x:row r="10" ht="15" hidden="0" customHeight="1">
      <x:c r="A10" s="170" t="str">
        <x:v>Never silently replace uncertain numbers; mark them To verify or Not recorded.</x:v>
      </x:c>
      <x:c r="B10" s="170"/>
      <x:c r="C10" s="170"/>
      <x:c r="D10" s="170"/>
      <x:c r="E10" s="170"/>
      <x:c r="F10" s="170"/>
      <x:c r="G10" s="170"/>
      <x:c r="H10" s="170"/>
    </x:row>
    <x:row r="11" ht="15" hidden="0" customHeight="1">
      <x:c r="A11" s="170" t="str">
        <x:v>The Dashboard is driven by Session Summary; do not manually type KPI totals.</x:v>
      </x:c>
      <x:c r="B11" s="170"/>
      <x:c r="C11" s="170"/>
      <x:c r="D11" s="170"/>
      <x:c r="E11" s="170"/>
      <x:c r="F11" s="170"/>
      <x:c r="G11" s="170"/>
      <x:c r="H11" s="170"/>
    </x:row>
    <x:row r="12" ht="15" hidden="0" customHeight="1">
      <x:c r="A12" s="170" t="str">
        <x:v>Nutrition targets remain provisional until health, diet pattern, schedule, and intake are verified.</x:v>
      </x:c>
      <x:c r="B12" s="170"/>
      <x:c r="C12" s="170"/>
      <x:c r="D12" s="170"/>
      <x:c r="E12" s="170"/>
      <x:c r="F12" s="170"/>
      <x:c r="G12" s="170"/>
      <x:c r="H12" s="170"/>
    </x:row>
    <x:row r="13" ht="15" hidden="0" customHeight="1">
      <x:c r="A13" s="170" t="str">
        <x:v>Create dated backups periodically; local files are the durable source of truth.</x:v>
      </x:c>
      <x:c r="B13" s="170"/>
      <x:c r="C13" s="170"/>
      <x:c r="D13" s="170"/>
      <x:c r="E13" s="170"/>
      <x:c r="F13" s="170"/>
      <x:c r="G13" s="170"/>
      <x:c r="H13" s="170"/>
    </x:row>
    <x:row r="14" ht="15" hidden="0" customHeight="1">
      <x:c r="A14" s="170" t="str">
        <x:v>New sheets: Session Summary, Coaching Profile, Nutrition Plan, Photos &amp; Measurements, Protein Calculator.</x:v>
      </x:c>
      <x:c r="B14" s="170"/>
      <x:c r="C14" s="170"/>
      <x:c r="D14" s="170"/>
      <x:c r="E14" s="170"/>
      <x:c r="F14" s="170"/>
      <x:c r="G14" s="170"/>
      <x:c r="H14" s="170"/>
    </x:row>
  </x:sheetData>
  <x:mergeCells>
    <x:mergeCell ref="A9:H9"/>
    <x:mergeCell ref="A4:H4"/>
    <x:mergeCell ref="A7:H7"/>
    <x:mergeCell ref="A5:H5"/>
    <x:mergeCell ref="A1:H2"/>
    <x:mergeCell ref="A8:H8"/>
    <x:mergeCell ref="A6:H6"/>
    <x:mergeCell ref="A10:H10"/>
    <x:mergeCell ref="A11:H11"/>
    <x:mergeCell ref="A12:H12"/>
    <x:mergeCell ref="A13:H13"/>
    <x:mergeCell ref="A14:H14"/>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6" customWidth="1"/>
    <x:col min="3" max="3" width="16" customWidth="1"/>
    <x:col min="4" max="4" width="16" customWidth="1"/>
    <x:col min="5" max="5" width="18" customWidth="1"/>
    <x:col min="6" max="6" width="18" customWidth="1"/>
    <x:col min="7" max="7" width="18" customWidth="1"/>
    <x:col min="8" max="8" width="18" customWidth="1"/>
    <x:col min="9" max="9" width="18" customWidth="1"/>
    <x:col min="10" max="10" width="16" customWidth="1"/>
  </x:cols>
  <x:sheetData>
    <x:row r="1" ht="28" customHeight="1">
      <x:c r="A1" s="89" t="inlineStr">
        <x:is>
          <x:t xml:space="preserve">Vipin's Gym Progress Dashboard</x:t>
        </x:is>
      </x:c>
      <x:c r="B1" s="53" t="n"/>
      <x:c r="C1" s="53" t="n"/>
      <x:c r="D1" s="53" t="n"/>
      <x:c r="E1" s="53" t="n"/>
      <x:c r="F1" s="53" t="n"/>
      <x:c r="G1" s="53" t="n"/>
      <x:c r="H1" s="53" t="n"/>
      <x:c r="I1" s="53" t="n"/>
      <x:c r="J1" s="53" t="n"/>
      <x:c r="K1" s="124" t="str">
        <x:v>Workout</x:v>
      </x:c>
      <x:c r="L1" s="126" t="str">
        <x:v>Exercises</x:v>
      </x:c>
    </x:row>
    <x:row r="2" ht="28" customHeight="1">
      <x:c r="A2" s="53" t="n"/>
      <x:c r="B2" s="53" t="n"/>
      <x:c r="C2" s="53" t="n"/>
      <x:c r="D2" s="53" t="n"/>
      <x:c r="E2" s="53" t="n"/>
      <x:c r="F2" s="53" t="n"/>
      <x:c r="G2" s="53" t="n"/>
      <x:c r="H2" s="53" t="n"/>
      <x:c r="I2" s="53" t="n"/>
      <x:c r="J2" s="53" t="n"/>
      <x:c r="K2" s="129" t="str">
        <x:v>Back</x:v>
      </x:c>
      <x:c r="L2" s="134" t="n">
        <x:f>SUMIF('Session Summary'!$B$5:$B$200,K2,'Session Summary'!$C$5:$C$200)</x:f>
        <x:v>18</x:v>
      </x:c>
    </x:row>
    <x:row r="3">
      <x:c r="A3" s="59" t="n"/>
      <x:c r="B3" s="59" t="n"/>
      <x:c r="C3" s="59" t="n"/>
      <x:c r="D3" s="59" t="n"/>
      <x:c r="E3" s="59" t="n"/>
      <x:c r="F3" s="59" t="n"/>
      <x:c r="G3" s="59" t="n"/>
      <x:c r="H3" s="59" t="n"/>
      <x:c r="I3" s="59" t="n"/>
      <x:c r="J3" s="59" t="n"/>
      <x:c r="K3" s="135" t="str">
        <x:v>Chest</x:v>
      </x:c>
      <x:c r="L3" s="140" t="n">
        <x:f>SUMIF('Session Summary'!$B$5:$B$200,K3,'Session Summary'!$C$5:$C$200)</x:f>
        <x:v>18</x:v>
      </x:c>
    </x:row>
    <x:row r="4">
      <x:c r="A4" s="90" t="inlineStr">
        <x:is>
          <x:t xml:space="preserve">Current Profile</x:t>
        </x:is>
      </x:c>
      <x:c r="B4" s="53" t="n"/>
      <x:c r="C4" s="59" t="n"/>
      <x:c r="D4" s="91" t="inlineStr">
        <x:is>
          <x:t xml:space="preserve">Logged Workouts</x:t>
        </x:is>
      </x:c>
      <x:c r="E4" s="53" t="n"/>
      <x:c r="F4" s="91" t="inlineStr">
        <x:is>
          <x:t xml:space="preserve">Exercises Logged</x:t>
        </x:is>
      </x:c>
      <x:c r="G4" s="53" t="n"/>
      <x:c r="H4" s="91" t="inlineStr">
        <x:is>
          <x:t xml:space="preserve">Current Split</x:t>
        </x:is>
      </x:c>
      <x:c r="I4" s="53" t="n"/>
      <x:c r="J4" s="59" t="n"/>
      <x:c r="K4" s="135" t="str">
        <x:v>Biceps</x:v>
      </x:c>
      <x:c r="L4" s="140" t="n">
        <x:v>18</x:v>
      </x:c>
    </x:row>
    <x:row r="5">
      <x:c r="A5" s="92" t="inlineStr">
        <x:is>
          <x:t xml:space="preserve">Height</x:t>
        </x:is>
      </x:c>
      <x:c r="B5" s="59" t="inlineStr">
        <x:is>
          <x:t xml:space="preserve">5'10"</x:t>
        </x:is>
      </x:c>
      <x:c r="C5" s="59" t="n"/>
      <x:c r="D5" s="93" t="n">
        <x:v>26</x:v>
      </x:c>
      <x:c r="E5" s="53" t="n"/>
      <x:c r="F5" s="93" t="n">
        <x:v>57</x:v>
      </x:c>
      <x:c r="G5" s="53" t="n"/>
      <x:c r="H5" s="93" t="str">
        <x:v>6-day active</x:v>
      </x:c>
      <x:c r="I5" s="53" t="n"/>
      <x:c r="J5" s="59" t="n"/>
      <x:c r="K5" s="135" t="str">
        <x:v>Legs</x:v>
      </x:c>
      <x:c r="L5" s="140" t="n">
        <x:v>32</x:v>
      </x:c>
    </x:row>
    <x:row r="6">
      <x:c r="A6" s="92" t="inlineStr">
        <x:is>
          <x:t xml:space="preserve">Current Weight</x:t>
        </x:is>
      </x:c>
      <x:c r="B6" s="59" t="str">
        <x:v>87.7 kg (2026-08-23)</x:v>
      </x:c>
      <x:c r="C6" s="59" t="n"/>
      <x:c r="D6" s="53" t="n"/>
      <x:c r="E6" s="53" t="n"/>
      <x:c r="F6" s="53" t="n"/>
      <x:c r="G6" s="53" t="n"/>
      <x:c r="H6" s="53" t="n"/>
      <x:c r="I6" s="53" t="n"/>
      <x:c r="J6" s="59" t="n"/>
      <x:c r="K6" s="135" t="str">
        <x:v>Shoulders</x:v>
      </x:c>
      <x:c r="L6" s="140" t="n">
        <x:v>32</x:v>
      </x:c>
    </x:row>
    <x:row r="7">
      <x:c r="A7" s="92" t="inlineStr">
        <x:is>
          <x:t xml:space="preserve">Goal</x:t>
        </x:is>
      </x:c>
      <x:c r="B7" s="59" t="inlineStr">
        <x:is>
          <x:t xml:space="preserve">Lean athletic physique; reduce belly fat; build strength</x:t>
        </x:is>
      </x:c>
      <x:c r="C7" s="59" t="n"/>
      <x:c r="D7" s="59" t="n"/>
      <x:c r="E7" s="59" t="n"/>
      <x:c r="F7" s="59" t="n"/>
      <x:c r="G7" s="59" t="n"/>
      <x:c r="H7" s="59" t="n"/>
      <x:c r="I7" s="59" t="n"/>
      <x:c r="J7" s="59" t="n"/>
      <x:c r="K7" s="141" t="str">
        <x:v>Triceps</x:v>
      </x:c>
      <x:c r="L7" s="146" t="n">
        <x:v>33</x:v>
      </x:c>
    </x:row>
    <x:row r="8">
      <x:c r="A8" s="92" t="inlineStr">
        <x:is>
          <x:t xml:space="preserve">Diet</x:t>
        </x:is>
      </x:c>
      <x:c r="B8" s="59" t="inlineStr">
        <x:is>
          <x:t xml:space="preserve">Vegetarian</x:t>
        </x:is>
      </x:c>
      <x:c r="C8" s="59" t="n"/>
      <x:c r="D8" s="90" t="inlineStr">
        <x:is>
          <x:t xml:space="preserve">Current Coaching Priorities</x:t>
        </x:is>
      </x:c>
      <x:c r="E8" s="53" t="n"/>
      <x:c r="F8" s="53" t="n"/>
      <x:c r="G8" s="53" t="n"/>
      <x:c r="H8" s="53" t="n"/>
      <x:c r="I8" s="53" t="n"/>
      <x:c r="J8" s="59" t="n"/>
      <x:c r="K8" s="59" t="n"/>
      <x:c r="L8" s="59" t="n"/>
    </x:row>
    <x:row r="9">
      <x:c r="A9" s="92" t="inlineStr">
        <x:is>
          <x:t xml:space="preserve">Experience</x:t>
        </x:is>
      </x:c>
      <x:c r="B9" s="59" t="inlineStr">
        <x:is>
          <x:t xml:space="preserve">Returned to regular training; Phase 2 tracking</x:t>
        </x:is>
      </x:c>
      <x:c r="C9" s="59" t="n"/>
      <x:c r="D9" s="94" t="inlineStr">
        <x:is>
          <x:t xml:space="preserve">1</x:t>
        </x:is>
      </x:c>
      <x:c r="E9" s="59" t="inlineStr">
        <x:is>
          <x:t xml:space="preserve">Progress reps before adding weight</x:t>
        </x:is>
      </x:c>
      <x:c r="F9" s="59" t="n"/>
      <x:c r="G9" s="59" t="n"/>
      <x:c r="H9" s="59" t="n"/>
      <x:c r="I9" s="59" t="n"/>
      <x:c r="J9" s="59" t="n"/>
      <x:c r="K9" s="59" t="n"/>
      <x:c r="L9" s="59" t="n"/>
    </x:row>
    <x:row r="10">
      <x:c r="A10" s="59" t="n"/>
      <x:c r="B10" s="59" t="n"/>
      <x:c r="C10" s="59" t="n"/>
      <x:c r="D10" s="94" t="inlineStr">
        <x:is>
          <x:t xml:space="preserve">2</x:t>
        </x:is>
      </x:c>
      <x:c r="E10" s="59" t="inlineStr">
        <x:is>
          <x:t xml:space="preserve">Keep chest to 3 presses maximum</x:t>
        </x:is>
      </x:c>
      <x:c r="F10" s="59" t="n"/>
      <x:c r="G10" s="59" t="n"/>
      <x:c r="H10" s="59" t="n"/>
      <x:c r="I10" s="59" t="n"/>
      <x:c r="J10" s="59" t="n"/>
      <x:c r="K10" s="59" t="n"/>
      <x:c r="L10" s="59" t="n"/>
    </x:row>
    <x:row r="11">
      <x:c r="A11" s="59" t="n"/>
      <x:c r="B11" s="59" t="n"/>
      <x:c r="C11" s="59" t="n"/>
      <x:c r="D11" s="94" t="inlineStr">
        <x:is>
          <x:t xml:space="preserve">3</x:t>
        </x:is>
      </x:c>
      <x:c r="E11" s="59" t="inlineStr">
        <x:is>
          <x:t xml:space="preserve">Use chest-supported rows to manage lower-back fatigue</x:t>
        </x:is>
      </x:c>
      <x:c r="F11" s="59" t="n"/>
      <x:c r="G11" s="59" t="n"/>
      <x:c r="H11" s="59" t="n"/>
      <x:c r="I11" s="59" t="n"/>
      <x:c r="J11" s="59" t="n"/>
      <x:c r="K11" s="59" t="n"/>
      <x:c r="L11" s="59" t="n"/>
    </x:row>
    <x:row r="12">
      <x:c r="A12" s="90" t="inlineStr">
        <x:is>
          <x:t xml:space="preserve">Weekly Split</x:t>
        </x:is>
      </x:c>
      <x:c r="B12" s="53" t="n"/>
      <x:c r="C12" s="59" t="n"/>
      <x:c r="D12" s="94" t="inlineStr">
        <x:is>
          <x:t xml:space="preserve">4</x:t>
        </x:is>
      </x:c>
      <x:c r="E12" s="59" t="inlineStr">
        <x:is>
          <x:t xml:space="preserve">Track recovery and pain before each workout</x:t>
        </x:is>
      </x:c>
      <x:c r="F12" s="59" t="n"/>
      <x:c r="G12" s="59" t="n"/>
      <x:c r="H12" s="59" t="n"/>
      <x:c r="I12" s="59" t="n"/>
      <x:c r="J12" s="59" t="n"/>
      <x:c r="K12" s="59" t="n"/>
      <x:c r="L12" s="59" t="n"/>
    </x:row>
    <x:row r="13">
      <x:c r="A13" s="92" t="str">
        <x:v>Monday</x:v>
      </x:c>
      <x:c r="B13" s="59" t="str">
        <x:v>Chest + Triceps - completed 2026-08-31</x:v>
      </x:c>
      <x:c r="C13" s="59" t="n"/>
      <x:c r="D13" s="94" t="inlineStr">
        <x:is>
          <x:t xml:space="preserve">5</x:t>
        </x:is>
      </x:c>
      <x:c r="E13" s="59" t="inlineStr">
        <x:is>
          <x:t xml:space="preserve">Maintain strict form on isolation exercises</x:t>
        </x:is>
      </x:c>
      <x:c r="F13" s="59" t="n"/>
      <x:c r="G13" s="59" t="n"/>
      <x:c r="H13" s="59" t="n"/>
      <x:c r="I13" s="59" t="n"/>
      <x:c r="J13" s="59" t="n"/>
      <x:c r="K13" s="59" t="n"/>
      <x:c r="L13" s="59" t="n"/>
    </x:row>
    <x:row r="14">
      <x:c r="A14" s="92" t="str">
        <x:v>Tuesday</x:v>
      </x:c>
      <x:c r="B14" s="59" t="str">
        <x:v>Back + Biceps - completed 2026-09-01</x:v>
      </x:c>
      <x:c r="C14" s="59" t="n"/>
      <x:c r="D14" s="59" t="n"/>
      <x:c r="E14" s="59" t="n"/>
      <x:c r="F14" s="59" t="n"/>
      <x:c r="G14" s="59" t="n"/>
      <x:c r="H14" s="59" t="n"/>
      <x:c r="I14" s="59" t="n"/>
      <x:c r="J14" s="59" t="n"/>
      <x:c r="K14" s="59" t="n"/>
      <x:c r="L14" s="59" t="n"/>
    </x:row>
    <x:row r="15">
      <x:c r="A15" s="92" t="str">
        <x:v>Wednesday</x:v>
      </x:c>
      <x:c r="B15" s="59" t="str">
        <x:v>Shoulders + Triceps - completed 2026-09-02</x:v>
      </x:c>
      <x:c r="C15" s="59" t="n"/>
      <x:c r="D15" s="90" t="inlineStr">
        <x:is>
          <x:t xml:space="preserve">Next Main-Lift Targets</x:t>
        </x:is>
      </x:c>
      <x:c r="E15" s="53" t="n"/>
      <x:c r="F15" s="53" t="n"/>
      <x:c r="G15" s="53" t="n"/>
      <x:c r="H15" s="53" t="n"/>
      <x:c r="I15" s="53" t="n"/>
      <x:c r="J15" s="59" t="n"/>
      <x:c r="K15" s="59" t="n"/>
      <x:c r="L15" s="59" t="n"/>
    </x:row>
    <x:row r="16">
      <x:c r="A16" s="92" t="str">
        <x:v>Thursday</x:v>
      </x:c>
      <x:c r="B16" s="59" t="str">
        <x:v>Legs + Calves - completed 2026-09-03</x:v>
      </x:c>
      <x:c r="C16" s="59" t="n"/>
      <x:c r="D16" s="94" t="inlineStr">
        <x:is>
          <x:t xml:space="preserve">Muscle</x:t>
        </x:is>
      </x:c>
      <x:c r="E16" s="94" t="inlineStr">
        <x:is>
          <x:t xml:space="preserve">Exercise</x:t>
        </x:is>
      </x:c>
      <x:c r="F16" s="94" t="inlineStr">
        <x:is>
          <x:t xml:space="preserve">Current Best</x:t>
        </x:is>
      </x:c>
      <x:c r="G16" s="94" t="inlineStr">
        <x:is>
          <x:t xml:space="preserve">Next Target</x:t>
        </x:is>
      </x:c>
      <x:c r="H16" s="94" t="inlineStr">
        <x:is>
          <x:t xml:space="preserve">Status</x:t>
        </x:is>
      </x:c>
      <x:c r="I16" s="94" t="inlineStr">
        <x:is>
          <x:t xml:space="preserve">Note</x:t>
        </x:is>
      </x:c>
      <x:c r="J16" s="59" t="n"/>
      <x:c r="K16" s="59" t="n"/>
      <x:c r="L16" s="59" t="n"/>
    </x:row>
    <x:row r="17">
      <x:c r="A17" s="92" t="str">
        <x:v>Friday</x:v>
      </x:c>
      <x:c r="B17" s="59" t="str">
        <x:v>Chest + Shoulders - completed 2026-09-04</x:v>
      </x:c>
      <x:c r="C17" s="59" t="n"/>
      <x:c r="D17" s="59" t="str">
        <x:v>Legs</x:v>
      </x:c>
      <x:c r="E17" s="59" t="str">
        <x:v>Hack Squat</x:v>
      </x:c>
      <x:c r="F17" s="59" t="str">
        <x:v>65 kg/side x 8 @ RIR 2</x:v>
      </x:c>
      <x:c r="G17" s="59" t="str">
        <x:v>65 kg/side x 9 @ RIR 2</x:v>
      </x:c>
      <x:c r="H17" s="59" t="str">
        <x:v>In progress</x:v>
      </x:c>
      <x:c r="I17" s="59" t="str">
        <x:v>Hold load</x:v>
      </x:c>
      <x:c r="J17" s="59" t="n"/>
      <x:c r="K17" s="59" t="n"/>
      <x:c r="L17" s="59" t="n"/>
    </x:row>
    <x:row r="18">
      <x:c r="A18" s="92" t="str">
        <x:v>Saturday</x:v>
      </x:c>
      <x:c r="B18" s="59" t="str">
        <x:v>Back + Biceps; Sunday rest</x:v>
      </x:c>
      <x:c r="C18" s="59" t="n"/>
      <x:c r="D18" s="59" t="str">
        <x:v>Legs</x:v>
      </x:c>
      <x:c r="E18" s="59" t="str">
        <x:v>Leg Press</x:v>
      </x:c>
      <x:c r="F18" s="59" t="str">
        <x:v>160 kg x 7 unassisted @1</x:v>
      </x:c>
      <x:c r="G18" s="59" t="str">
        <x:v>140 kg x 10 @ RIR 2</x:v>
      </x:c>
      <x:c r="H18" s="59" t="str">
        <x:v>Modify volume/effort</x:v>
      </x:c>
      <x:c r="I18" s="59" t="str">
        <x:v>Exactly 3 sets; no 160</x:v>
      </x:c>
      <x:c r="J18" s="59" t="n"/>
      <x:c r="K18" s="59" t="n"/>
      <x:c r="L18" s="59" t="n"/>
    </x:row>
    <x:row r="19" ht="30" customHeight="1">
      <x:c r="A19" s="92"/>
      <x:c r="B19" s="59"/>
      <x:c r="C19" s="59" t="n"/>
      <x:c r="D19" s="59" t="str">
        <x:v>Legs</x:v>
      </x:c>
      <x:c r="E19" s="222" t="str">
        <x:v>DB Romanian Deadlift</x:v>
      </x:c>
      <x:c r="F19" s="222" t="str">
        <x:v>17.5 kg each x 9 @ RIR 2</x:v>
      </x:c>
      <x:c r="G19" s="222" t="str">
        <x:v>15 kg each x 10-11 @ RIR 2</x:v>
      </x:c>
      <x:c r="H19" s="222" t="str">
        <x:v>Modify technique</x:v>
      </x:c>
      <x:c r="I19" s="222" t="str">
        <x:v>17.5 was substitution</x:v>
      </x:c>
      <x:c r="J19" s="59" t="n"/>
      <x:c r="K19" s="59" t="n"/>
      <x:c r="L19" s="59" t="n"/>
    </x:row>
    <x:row r="20" ht="30" customHeight="1">
      <x:c r="A20" s="59" t="n"/>
      <x:c r="B20" s="59" t="n"/>
      <x:c r="C20" s="59" t="n"/>
      <x:c r="D20" s="59" t="str">
        <x:v>Legs</x:v>
      </x:c>
      <x:c r="E20" s="222" t="str">
        <x:v>Leg Curl</x:v>
      </x:c>
      <x:c r="F20" s="222" t="str">
        <x:v>35 kg x 9 @ RIR 1</x:v>
      </x:c>
      <x:c r="G20" s="222" t="str">
        <x:v>35 kg x 9-10 @ RIR 2</x:v>
      </x:c>
      <x:c r="H20" s="222" t="str">
        <x:v>Modify effort</x:v>
      </x:c>
      <x:c r="I20" s="222" t="str">
        <x:v>No extra set</x:v>
      </x:c>
      <x:c r="J20" s="59" t="n"/>
      <x:c r="K20" s="59" t="n"/>
      <x:c r="L20" s="59" t="n"/>
    </x:row>
    <x:row r="21">
      <x:c r="A21" s="59" t="n"/>
      <x:c r="B21" s="59" t="n"/>
      <x:c r="C21" s="59" t="n"/>
      <x:c r="D21" s="59" t="str">
        <x:v>Legs</x:v>
      </x:c>
      <x:c r="E21" s="59" t="str">
        <x:v>Leg Extension</x:v>
      </x:c>
      <x:c r="F21" s="59" t="str">
        <x:v>50 kg x 11 @ RIR 2</x:v>
      </x:c>
      <x:c r="G21" s="59" t="str">
        <x:v>50 kg x 12 @ RIR 2</x:v>
      </x:c>
      <x:c r="H21" s="59" t="str">
        <x:v>In progress</x:v>
      </x:c>
      <x:c r="I21" s="59" t="str">
        <x:v>Add one rep</x:v>
      </x:c>
      <x:c r="J21" s="59" t="n"/>
      <x:c r="K21" s="59" t="n"/>
      <x:c r="L21" s="59" t="n"/>
    </x:row>
    <x:row r="22">
      <x:c r="A22" s="59" t="n"/>
      <x:c r="B22" s="59" t="n"/>
      <x:c r="C22" s="59" t="n"/>
      <x:c r="D22" s="59" t="str">
        <x:v>Calves</x:v>
      </x:c>
      <x:c r="E22" s="59" t="str">
        <x:v>Standing Calf Raise</x:v>
      </x:c>
      <x:c r="F22" s="59" t="str">
        <x:v>20 kg/side x 17 @ RIR 2</x:v>
      </x:c>
      <x:c r="G22" s="59" t="str">
        <x:v>Repeat plus third set</x:v>
      </x:c>
      <x:c r="H22" s="59" t="str">
        <x:v>In progress</x:v>
      </x:c>
      <x:c r="I22" s="59" t="str">
        <x:v>Three sets next time</x:v>
      </x:c>
      <x:c r="J22" s="59" t="n"/>
      <x:c r="K22" s="59" t="n"/>
      <x:c r="L22" s="59" t="n"/>
    </x:row>
    <x:row r="23">
      <x:c r="A23" s="50" t="n"/>
      <x:c r="B23" s="50" t="n"/>
      <x:c r="C23" s="50" t="n"/>
      <x:c r="D23" s="50" t="str">
        <x:v>Recovery</x:v>
      </x:c>
      <x:c r="E23" s="50" t="str">
        <x:v>Final energy</x:v>
      </x:c>
      <x:c r="F23" s="50" t="str">
        <x:v>Low after 80 min</x:v>
      </x:c>
      <x:c r="G23" s="50" t="str">
        <x:v>Fresh readiness required</x:v>
      </x:c>
      <x:c r="H23" s="50" t="str">
        <x:v>Monitor</x:v>
      </x:c>
      <x:c r="I23" s="50" t="str">
        <x:v>No cardio today</x:v>
      </x:c>
      <x:c r="J23" s="50" t="n"/>
      <x:c r="K23" s="50" t="n"/>
      <x:c r="L23" s="50" t="n"/>
    </x:row>
    <x:row r="24">
      <x:c r="A24" s="50" t="n"/>
      <x:c r="B24" s="50" t="n"/>
      <x:c r="C24" s="50" t="n"/>
      <x:c r="D24" s="50" t="str">
        <x:v>Next</x:v>
      </x:c>
      <x:c r="E24" s="50" t="str">
        <x:v>Back + Biceps</x:v>
      </x:c>
      <x:c r="F24" s="50" t="str">
        <x:v>Five days completed</x:v>
      </x:c>
      <x:c r="G24" s="50" t="str">
        <x:v>16 working sets; no cardio</x:v>
      </x:c>
      <x:c r="H24" s="50" t="str">
        <x:v>Conditional</x:v>
      </x:c>
      <x:c r="I24" s="50" t="str">
        <x:v>Train only after fresh readiness</x:v>
      </x:c>
      <x:c r="J24" s="50" t="n"/>
      <x:c r="K24" s="50" t="n"/>
      <x:c r="L24" s="50" t="n"/>
    </x:row>
  </x:sheetData>
  <x:mergeCells>
    <x:mergeCell ref="A4:B4"/>
    <x:mergeCell ref="F4:G4"/>
    <x:mergeCell ref="A1:J2"/>
    <x:mergeCell ref="F5:G6"/>
    <x:mergeCell ref="D5:E6"/>
    <x:mergeCell ref="D4:E4"/>
    <x:mergeCell ref="A12:B12"/>
    <x:mergeCell ref="H4:I4"/>
    <x:mergeCell ref="H5:I6"/>
    <x:mergeCell ref="D8:I8"/>
    <x:mergeCell ref="D15:I15"/>
  </x:mergeCells>
  <x:conditionalFormatting sqref="H17:H22">
    <x:cfRule type="expression" dxfId="0" priority="1">
      <x:formula>H17="Achieved"</x:formula>
    </x:cfRule>
    <x:cfRule type="expression" dxfId="1" priority="2">
      <x:formula>H17="In progress"</x:formula>
    </x:cfRule>
  </x:conditionalFormatting>
  <x:pageMargins left="0.7" right="0.7" top="0.75" bottom="0.75" header="0.3" footer="0.3"/>
  <x:drawing xmlns:r="http://schemas.openxmlformats.org/officeDocument/2006/relationships" r:id="R505cd8568a5b4cb9"/>
</x:worksheet>
</file>

<file path=xl/worksheets/sheet3.xml><?xml version="1.0" encoding="utf-8"?>
<x:worksheet xmlns:x="http://schemas.openxmlformats.org/spreadsheetml/2006/main">
  <x:sheetFormatPr baseColWidth="8" defaultRowHeight="15"/>
  <x:cols>
    <x:col min="1" max="1" width="12" hidden="0" customWidth="1"/>
    <x:col min="2" max="2" width="12" hidden="0" customWidth="1"/>
    <x:col min="3" max="3" width="27" hidden="0" customWidth="1"/>
    <x:col min="4" max="4" width="9" hidden="0" customWidth="1"/>
    <x:col min="5" max="5" width="9" hidden="0" customWidth="1"/>
    <x:col min="6" max="6" width="27" hidden="0" customWidth="1"/>
    <x:col min="7" max="7" width="8" hidden="0" customWidth="1"/>
    <x:col min="8" max="8" width="26" hidden="0" customWidth="1"/>
    <x:col min="9" max="9" width="26" hidden="0" customWidth="1"/>
    <x:col min="10" max="10" width="11" hidden="0" customWidth="1"/>
    <x:col min="11" max="11" width="11" hidden="0" customWidth="1"/>
    <x:col min="12" max="12" width="33" hidden="0" customWidth="1"/>
    <x:col min="13" max="13" width="15" hidden="0" customWidth="1"/>
    <x:col min="14" max="14" width="15" hidden="0" customWidth="1"/>
  </x:cols>
  <x:sheetData>
    <x:row r="1">
      <x:c r="A1" s="111" t="inlineStr">
        <x:is>
          <x:t xml:space="preserve">Workout Journal</x:t>
        </x:is>
      </x:c>
      <x:c r="B1" s="112" t="n"/>
      <x:c r="C1" s="112" t="n"/>
      <x:c r="D1" s="112" t="n"/>
      <x:c r="E1" s="112" t="n"/>
      <x:c r="F1" s="112" t="n"/>
      <x:c r="G1" s="112" t="n"/>
      <x:c r="H1" s="112" t="n"/>
      <x:c r="I1" s="112" t="n"/>
      <x:c r="J1" s="112" t="n"/>
      <x:c r="K1" s="112" t="n"/>
      <x:c r="L1" s="112" t="n"/>
      <x:c r="M1" s="112"/>
      <x:c r="N1" s="112"/>
    </x:row>
    <x:row r="2">
      <x:c r="A2" s="105" t="n"/>
      <x:c r="B2" s="105" t="n"/>
      <x:c r="C2" s="105" t="n"/>
      <x:c r="D2" s="105" t="n"/>
      <x:c r="E2" s="105" t="n"/>
      <x:c r="F2" s="105" t="n"/>
      <x:c r="G2" s="105" t="n"/>
      <x:c r="H2" s="105" t="n"/>
      <x:c r="I2" s="105" t="n"/>
      <x:c r="J2" s="105" t="n"/>
      <x:c r="K2" s="105" t="n"/>
      <x:c r="L2" s="105" t="n"/>
      <x:c r="M2" s="106"/>
      <x:c r="N2" s="106"/>
    </x:row>
    <x:row r="3">
      <x:c r="A3" s="99" t="str">
        <x:v>Historical Set Type and RIR were not recorded. Do not infer them; capture both fields for future working sets.</x:v>
      </x:c>
      <x:c r="B3" s="99" t="str">
        <x:v>Historical Set Type and RIR were not recorded. Do not infer them; capture both fields for future working sets.</x:v>
      </x:c>
      <x:c r="C3" s="99" t="str">
        <x:v>Historical Set Type and RIR were not recorded. Do not infer them; capture both fields for future working sets.</x:v>
      </x:c>
      <x:c r="D3" s="99" t="str">
        <x:v>Historical Set Type and RIR were not recorded. Do not infer them; capture both fields for future working sets.</x:v>
      </x:c>
      <x:c r="E3" s="99" t="str">
        <x:v>Historical Set Type and RIR were not recorded. Do not infer them; capture both fields for future working sets.</x:v>
      </x:c>
      <x:c r="F3" s="99" t="str">
        <x:v>Historical Set Type and RIR were not recorded. Do not infer them; capture both fields for future working sets.</x:v>
      </x:c>
      <x:c r="G3" s="99" t="str">
        <x:v>Historical Set Type and RIR were not recorded. Do not infer them; capture both fields for future working sets.</x:v>
      </x:c>
      <x:c r="H3" s="99" t="str">
        <x:v>Historical Set Type and RIR were not recorded. Do not infer them; capture both fields for future working sets.</x:v>
      </x:c>
      <x:c r="I3" s="99" t="str">
        <x:v>Historical Set Type and RIR were not recorded. Do not infer them; capture both fields for future working sets.</x:v>
      </x:c>
      <x:c r="J3" s="99" t="str">
        <x:v>Historical Set Type and RIR were not recorded. Do not infer them; capture both fields for future working sets.</x:v>
      </x:c>
      <x:c r="K3" s="99" t="str">
        <x:v>Historical Set Type and RIR were not recorded. Do not infer them; capture both fields for future working sets.</x:v>
      </x:c>
      <x:c r="L3" s="99" t="str">
        <x:v>Historical Set Type and RIR were not recorded. Do not infer them; capture both fields for future working sets.</x:v>
      </x:c>
      <x:c r="M3" s="101" t="str">
        <x:v>Historical Set Type and RIR were not recorded. Do not infer them; capture both fields for future working sets.</x:v>
      </x:c>
      <x:c r="N3" s="101" t="str">
        <x:v>Historical Set Type and RIR were not recorded. Do not infer them; capture both fields for future working sets.</x:v>
      </x:c>
    </x:row>
    <x:row r="4" ht="15" hidden="0" customHeight="1">
      <x:c r="A4" s="219" t="str">
        <x:v>Date</x:v>
      </x:c>
      <x:c r="B4" s="219" t="str">
        <x:v>Workout</x:v>
      </x:c>
      <x:c r="C4" s="219" t="str">
        <x:v>Exercise</x:v>
      </x:c>
      <x:c r="D4" s="219" t="str">
        <x:v>Set</x:v>
      </x:c>
      <x:c r="E4" s="219" t="str">
        <x:v>Weight</x:v>
      </x:c>
      <x:c r="F4" s="219" t="str">
        <x:v>Unit / Load Basis</x:v>
      </x:c>
      <x:c r="G4" s="219" t="str">
        <x:v>Reps</x:v>
      </x:c>
      <x:c r="H4" s="219" t="str">
        <x:v>Form Note</x:v>
      </x:c>
      <x:c r="I4" s="219" t="str">
        <x:v>Pain / Soreness</x:v>
      </x:c>
      <x:c r="J4" s="219" t="str">
        <x:v>Energy</x:v>
      </x:c>
      <x:c r="K4" s="219" t="str">
        <x:v>Sleep</x:v>
      </x:c>
      <x:c r="L4" s="219" t="str">
        <x:v>Coach Note</x:v>
      </x:c>
      <x:c r="M4" s="221" t="str">
        <x:v>Set Type</x:v>
      </x:c>
      <x:c r="N4" s="221" t="str">
        <x:v>RIR</x:v>
      </x:c>
    </x:row>
    <x:row r="5" ht="15" hidden="0" customHeight="1">
      <x:c r="A5" s="220" t="n">
        <x:v>46237</x:v>
      </x:c>
      <x:c r="B5" s="170" t="str">
        <x:v>Back</x:v>
      </x:c>
      <x:c r="C5" s="170" t="str">
        <x:v>Lat Pulldown</x:v>
      </x:c>
      <x:c r="D5" s="170" t="n">
        <x:v>1</x:v>
      </x:c>
      <x:c r="E5" s="170" t="n">
        <x:v>45</x:v>
      </x:c>
      <x:c r="F5" s="170" t="str">
        <x:v>kg; final set includes drop</x:v>
      </x:c>
      <x:c r="G5" s="170" t="n">
        <x:v>15</x:v>
      </x:c>
      <x:c r="H5" s="170"/>
      <x:c r="I5" s="170"/>
      <x:c r="J5" s="170"/>
      <x:c r="K5" s="170"/>
      <x:c r="L5" s="170"/>
      <x:c r="M5" s="170" t="str">
        <x:v>Not recorded</x:v>
      </x:c>
      <x:c r="N5" s="170" t="str">
        <x:v>Not recorded</x:v>
      </x:c>
    </x:row>
    <x:row r="6" ht="15" hidden="0" customHeight="1">
      <x:c r="A6" s="220" t="n">
        <x:v>46237</x:v>
      </x:c>
      <x:c r="B6" s="170" t="str">
        <x:v>Back</x:v>
      </x:c>
      <x:c r="C6" s="170" t="str">
        <x:v>Lat Pulldown</x:v>
      </x:c>
      <x:c r="D6" s="170" t="n">
        <x:v>2</x:v>
      </x:c>
      <x:c r="E6" s="170" t="n">
        <x:v>50</x:v>
      </x:c>
      <x:c r="F6" s="170" t="str">
        <x:v>kg; final set includes drop</x:v>
      </x:c>
      <x:c r="G6" s="170" t="n">
        <x:v>12</x:v>
      </x:c>
      <x:c r="H6" s="170"/>
      <x:c r="I6" s="170"/>
      <x:c r="J6" s="170"/>
      <x:c r="K6" s="170"/>
      <x:c r="L6" s="170"/>
      <x:c r="M6" s="170" t="str">
        <x:v>Not recorded</x:v>
      </x:c>
      <x:c r="N6" s="170" t="str">
        <x:v>Not recorded</x:v>
      </x:c>
    </x:row>
    <x:row r="7" ht="15" hidden="0" customHeight="1">
      <x:c r="A7" s="220" t="n">
        <x:v>46237</x:v>
      </x:c>
      <x:c r="B7" s="170" t="str">
        <x:v>Back</x:v>
      </x:c>
      <x:c r="C7" s="170" t="str">
        <x:v>Lat Pulldown</x:v>
      </x:c>
      <x:c r="D7" s="170" t="n">
        <x:v>3</x:v>
      </x:c>
      <x:c r="E7" s="170" t="n">
        <x:v>55</x:v>
      </x:c>
      <x:c r="F7" s="170" t="str">
        <x:v>kg; final set includes drop</x:v>
      </x:c>
      <x:c r="G7" s="170" t="n">
        <x:v>9</x:v>
      </x:c>
      <x:c r="H7" s="170"/>
      <x:c r="I7" s="170"/>
      <x:c r="J7" s="170"/>
      <x:c r="K7" s="170"/>
      <x:c r="L7" s="170"/>
      <x:c r="M7" s="170" t="str">
        <x:v>Not recorded</x:v>
      </x:c>
      <x:c r="N7" s="170" t="str">
        <x:v>Not recorded</x:v>
      </x:c>
    </x:row>
    <x:row r="8" ht="15" hidden="0" customHeight="1">
      <x:c r="A8" s="220" t="n">
        <x:v>46237</x:v>
      </x:c>
      <x:c r="B8" s="170" t="str">
        <x:v>Back</x:v>
      </x:c>
      <x:c r="C8" s="170" t="str">
        <x:v>Lat Pulldown</x:v>
      </x:c>
      <x:c r="D8" s="170" t="n">
        <x:v>4</x:v>
      </x:c>
      <x:c r="E8" s="170" t="n">
        <x:v>60</x:v>
      </x:c>
      <x:c r="F8" s="170" t="str">
        <x:v>kg; final set includes drop</x:v>
      </x:c>
      <x:c r="G8" s="170" t="n">
        <x:v>6</x:v>
      </x:c>
      <x:c r="H8" s="170"/>
      <x:c r="I8" s="170"/>
      <x:c r="J8" s="170"/>
      <x:c r="K8" s="170"/>
      <x:c r="L8" s="170"/>
      <x:c r="M8" s="170" t="str">
        <x:v>Not recorded</x:v>
      </x:c>
      <x:c r="N8" s="170" t="str">
        <x:v>Not recorded</x:v>
      </x:c>
    </x:row>
    <x:row r="9" ht="15" hidden="0" customHeight="1">
      <x:c r="A9" s="220" t="n">
        <x:v>46237</x:v>
      </x:c>
      <x:c r="B9" s="170" t="str">
        <x:v>Back</x:v>
      </x:c>
      <x:c r="C9" s="170" t="str">
        <x:v>Lat Pulldown</x:v>
      </x:c>
      <x:c r="D9" s="170" t="n">
        <x:v>5</x:v>
      </x:c>
      <x:c r="E9" s="170" t="n">
        <x:v>45</x:v>
      </x:c>
      <x:c r="F9" s="170" t="str">
        <x:v>kg; final set includes drop</x:v>
      </x:c>
      <x:c r="G9" s="170" t="n">
        <x:v>4</x:v>
      </x:c>
      <x:c r="H9" s="170"/>
      <x:c r="I9" s="170"/>
      <x:c r="J9" s="170"/>
      <x:c r="K9" s="170"/>
      <x:c r="L9" s="170" t="str">
        <x:v>Next: 55 kg × 10 clean</x:v>
      </x:c>
      <x:c r="M9" s="170" t="str">
        <x:v>Not recorded</x:v>
      </x:c>
      <x:c r="N9" s="170" t="str">
        <x:v>Not recorded</x:v>
      </x:c>
    </x:row>
    <x:row r="10" ht="15" hidden="0" customHeight="1">
      <x:c r="A10" s="220" t="n">
        <x:v>46237</x:v>
      </x:c>
      <x:c r="B10" s="170" t="str">
        <x:v>Back</x:v>
      </x:c>
      <x:c r="C10" s="170" t="str">
        <x:v>Seated Cable Row</x:v>
      </x:c>
      <x:c r="D10" s="170" t="n">
        <x:v>1</x:v>
      </x:c>
      <x:c r="E10" s="170" t="n">
        <x:v>45</x:v>
      </x:c>
      <x:c r="F10" s="170" t="str">
        <x:v>kg</x:v>
      </x:c>
      <x:c r="G10" s="170" t="n">
        <x:v>15</x:v>
      </x:c>
      <x:c r="H10" s="170"/>
      <x:c r="I10" s="170"/>
      <x:c r="J10" s="170"/>
      <x:c r="K10" s="170"/>
      <x:c r="L10" s="170"/>
      <x:c r="M10" s="170" t="str">
        <x:v>Not recorded</x:v>
      </x:c>
      <x:c r="N10" s="170" t="str">
        <x:v>Not recorded</x:v>
      </x:c>
    </x:row>
    <x:row r="11" ht="15" hidden="0" customHeight="1">
      <x:c r="A11" s="220" t="n">
        <x:v>46237</x:v>
      </x:c>
      <x:c r="B11" s="170" t="str">
        <x:v>Back</x:v>
      </x:c>
      <x:c r="C11" s="170" t="str">
        <x:v>Seated Cable Row</x:v>
      </x:c>
      <x:c r="D11" s="170" t="n">
        <x:v>2</x:v>
      </x:c>
      <x:c r="E11" s="170" t="n">
        <x:v>50</x:v>
      </x:c>
      <x:c r="F11" s="170" t="str">
        <x:v>kg</x:v>
      </x:c>
      <x:c r="G11" s="170" t="n">
        <x:v>12</x:v>
      </x:c>
      <x:c r="H11" s="170"/>
      <x:c r="I11" s="170"/>
      <x:c r="J11" s="170"/>
      <x:c r="K11" s="170"/>
      <x:c r="L11" s="170"/>
      <x:c r="M11" s="170" t="str">
        <x:v>Not recorded</x:v>
      </x:c>
      <x:c r="N11" s="170" t="str">
        <x:v>Not recorded</x:v>
      </x:c>
    </x:row>
    <x:row r="12" ht="15" hidden="0" customHeight="1">
      <x:c r="A12" s="220" t="n">
        <x:v>46237</x:v>
      </x:c>
      <x:c r="B12" s="170" t="str">
        <x:v>Back</x:v>
      </x:c>
      <x:c r="C12" s="170" t="str">
        <x:v>Seated Cable Row</x:v>
      </x:c>
      <x:c r="D12" s="170" t="n">
        <x:v>3</x:v>
      </x:c>
      <x:c r="E12" s="170" t="n">
        <x:v>55</x:v>
      </x:c>
      <x:c r="F12" s="170" t="str">
        <x:v>kg</x:v>
      </x:c>
      <x:c r="G12" s="170" t="n">
        <x:v>10</x:v>
      </x:c>
      <x:c r="H12" s="170"/>
      <x:c r="I12" s="170"/>
      <x:c r="J12" s="170"/>
      <x:c r="K12" s="170"/>
      <x:c r="L12" s="170"/>
      <x:c r="M12" s="170" t="str">
        <x:v>Not recorded</x:v>
      </x:c>
      <x:c r="N12" s="170" t="str">
        <x:v>Not recorded</x:v>
      </x:c>
    </x:row>
    <x:row r="13" ht="15" hidden="0" customHeight="1">
      <x:c r="A13" s="220" t="n">
        <x:v>46237</x:v>
      </x:c>
      <x:c r="B13" s="170" t="str">
        <x:v>Back</x:v>
      </x:c>
      <x:c r="C13" s="170" t="str">
        <x:v>Seated Cable Row</x:v>
      </x:c>
      <x:c r="D13" s="170" t="n">
        <x:v>4</x:v>
      </x:c>
      <x:c r="E13" s="170" t="n">
        <x:v>60</x:v>
      </x:c>
      <x:c r="F13" s="170" t="str">
        <x:v>kg</x:v>
      </x:c>
      <x:c r="G13" s="170" t="n">
        <x:v>8</x:v>
      </x:c>
      <x:c r="H13" s="170"/>
      <x:c r="I13" s="170"/>
      <x:c r="J13" s="170"/>
      <x:c r="K13" s="170"/>
      <x:c r="L13" s="170" t="str">
        <x:v>Next: 60 kg × 9–10</x:v>
      </x:c>
      <x:c r="M13" s="170" t="str">
        <x:v>Not recorded</x:v>
      </x:c>
      <x:c r="N13" s="170" t="str">
        <x:v>Not recorded</x:v>
      </x:c>
    </x:row>
    <x:row r="14" ht="15" hidden="0" customHeight="1">
      <x:c r="A14" s="220" t="n">
        <x:v>46237</x:v>
      </x:c>
      <x:c r="B14" s="170" t="str">
        <x:v>Back</x:v>
      </x:c>
      <x:c r="C14" s="170" t="str">
        <x:v>Chest-Supported Row Machine</x:v>
      </x:c>
      <x:c r="D14" s="170" t="n">
        <x:v>1</x:v>
      </x:c>
      <x:c r="E14" s="170" t="n">
        <x:v>30</x:v>
      </x:c>
      <x:c r="F14" s="170" t="str">
        <x:v>kg plates each side</x:v>
      </x:c>
      <x:c r="G14" s="170" t="n">
        <x:v>16</x:v>
      </x:c>
      <x:c r="H14" s="170"/>
      <x:c r="I14" s="170"/>
      <x:c r="J14" s="170"/>
      <x:c r="K14" s="170"/>
      <x:c r="L14" s="170"/>
      <x:c r="M14" s="170" t="str">
        <x:v>Not recorded</x:v>
      </x:c>
      <x:c r="N14" s="170" t="str">
        <x:v>Not recorded</x:v>
      </x:c>
    </x:row>
    <x:row r="15" ht="15" hidden="0" customHeight="1">
      <x:c r="A15" s="220" t="n">
        <x:v>46237</x:v>
      </x:c>
      <x:c r="B15" s="170" t="str">
        <x:v>Back</x:v>
      </x:c>
      <x:c r="C15" s="170" t="str">
        <x:v>Chest-Supported Row Machine</x:v>
      </x:c>
      <x:c r="D15" s="170" t="n">
        <x:v>2</x:v>
      </x:c>
      <x:c r="E15" s="170" t="n">
        <x:v>40</x:v>
      </x:c>
      <x:c r="F15" s="170" t="str">
        <x:v>kg plates each side</x:v>
      </x:c>
      <x:c r="G15" s="170" t="n">
        <x:v>13</x:v>
      </x:c>
      <x:c r="H15" s="170"/>
      <x:c r="I15" s="170"/>
      <x:c r="J15" s="170"/>
      <x:c r="K15" s="170"/>
      <x:c r="L15" s="170"/>
      <x:c r="M15" s="170" t="str">
        <x:v>Not recorded</x:v>
      </x:c>
      <x:c r="N15" s="170" t="str">
        <x:v>Not recorded</x:v>
      </x:c>
    </x:row>
    <x:row r="16" ht="15" hidden="0" customHeight="1">
      <x:c r="A16" s="220" t="n">
        <x:v>46237</x:v>
      </x:c>
      <x:c r="B16" s="170" t="str">
        <x:v>Back</x:v>
      </x:c>
      <x:c r="C16" s="170" t="str">
        <x:v>Chest-Supported Row Machine</x:v>
      </x:c>
      <x:c r="D16" s="170" t="n">
        <x:v>3</x:v>
      </x:c>
      <x:c r="E16" s="170" t="n">
        <x:v>50</x:v>
      </x:c>
      <x:c r="F16" s="170" t="str">
        <x:v>kg plates each side</x:v>
      </x:c>
      <x:c r="G16" s="170" t="n">
        <x:v>12</x:v>
      </x:c>
      <x:c r="H16" s="170"/>
      <x:c r="I16" s="170"/>
      <x:c r="J16" s="170"/>
      <x:c r="K16" s="170"/>
      <x:c r="L16" s="170"/>
      <x:c r="M16" s="170" t="str">
        <x:v>Not recorded</x:v>
      </x:c>
      <x:c r="N16" s="170" t="str">
        <x:v>Not recorded</x:v>
      </x:c>
    </x:row>
    <x:row r="17" ht="15" hidden="0" customHeight="1">
      <x:c r="A17" s="220" t="n">
        <x:v>46237</x:v>
      </x:c>
      <x:c r="B17" s="170" t="str">
        <x:v>Back</x:v>
      </x:c>
      <x:c r="C17" s="170" t="str">
        <x:v>Chest-Supported Row Machine</x:v>
      </x:c>
      <x:c r="D17" s="170" t="n">
        <x:v>4</x:v>
      </x:c>
      <x:c r="E17" s="170" t="n">
        <x:v>60</x:v>
      </x:c>
      <x:c r="F17" s="170" t="str">
        <x:v>kg plates each side</x:v>
      </x:c>
      <x:c r="G17" s="170" t="n">
        <x:v>11</x:v>
      </x:c>
      <x:c r="H17" s="170"/>
      <x:c r="I17" s="170"/>
      <x:c r="J17" s="170"/>
      <x:c r="K17" s="170"/>
      <x:c r="L17" s="170" t="str">
        <x:v>Next: 60 kg/side × 12</x:v>
      </x:c>
      <x:c r="M17" s="170" t="str">
        <x:v>Not recorded</x:v>
      </x:c>
      <x:c r="N17" s="170" t="str">
        <x:v>Not recorded</x:v>
      </x:c>
    </x:row>
    <x:row r="18" ht="15" hidden="0" customHeight="1">
      <x:c r="A18" s="220" t="n">
        <x:v>46237</x:v>
      </x:c>
      <x:c r="B18" s="170" t="str">
        <x:v>Back</x:v>
      </x:c>
      <x:c r="C18" s="170" t="str">
        <x:v>Straight-Arm Cable Pulldown</x:v>
      </x:c>
      <x:c r="D18" s="170" t="n">
        <x:v>1</x:v>
      </x:c>
      <x:c r="E18" s="170" t="n">
        <x:v>30</x:v>
      </x:c>
      <x:c r="F18" s="170" t="str">
        <x:v>kg</x:v>
      </x:c>
      <x:c r="G18" s="170" t="n">
        <x:v>20</x:v>
      </x:c>
      <x:c r="H18" s="170"/>
      <x:c r="I18" s="170"/>
      <x:c r="J18" s="170"/>
      <x:c r="K18" s="170"/>
      <x:c r="L18" s="170"/>
      <x:c r="M18" s="170" t="str">
        <x:v>Not recorded</x:v>
      </x:c>
      <x:c r="N18" s="170" t="str">
        <x:v>Not recorded</x:v>
      </x:c>
    </x:row>
    <x:row r="19" ht="15" hidden="0" customHeight="1">
      <x:c r="A19" s="220" t="n">
        <x:v>46237</x:v>
      </x:c>
      <x:c r="B19" s="170" t="str">
        <x:v>Back</x:v>
      </x:c>
      <x:c r="C19" s="170" t="str">
        <x:v>Straight-Arm Cable Pulldown</x:v>
      </x:c>
      <x:c r="D19" s="170" t="n">
        <x:v>2</x:v>
      </x:c>
      <x:c r="E19" s="170" t="n">
        <x:v>35</x:v>
      </x:c>
      <x:c r="F19" s="170" t="str">
        <x:v>kg</x:v>
      </x:c>
      <x:c r="G19" s="170" t="n">
        <x:v>15</x:v>
      </x:c>
      <x:c r="H19" s="170"/>
      <x:c r="I19" s="170"/>
      <x:c r="J19" s="170"/>
      <x:c r="K19" s="170"/>
      <x:c r="L19" s="170"/>
      <x:c r="M19" s="170" t="str">
        <x:v>Not recorded</x:v>
      </x:c>
      <x:c r="N19" s="170" t="str">
        <x:v>Not recorded</x:v>
      </x:c>
    </x:row>
    <x:row r="20" ht="15" hidden="0" customHeight="1">
      <x:c r="A20" s="220" t="n">
        <x:v>46237</x:v>
      </x:c>
      <x:c r="B20" s="170" t="str">
        <x:v>Back</x:v>
      </x:c>
      <x:c r="C20" s="170" t="str">
        <x:v>Straight-Arm Cable Pulldown</x:v>
      </x:c>
      <x:c r="D20" s="170" t="n">
        <x:v>3</x:v>
      </x:c>
      <x:c r="E20" s="170" t="n">
        <x:v>40</x:v>
      </x:c>
      <x:c r="F20" s="170" t="str">
        <x:v>kg</x:v>
      </x:c>
      <x:c r="G20" s="170" t="n">
        <x:v>12</x:v>
      </x:c>
      <x:c r="H20" s="170"/>
      <x:c r="I20" s="170"/>
      <x:c r="J20" s="170"/>
      <x:c r="K20" s="170"/>
      <x:c r="L20" s="170"/>
      <x:c r="M20" s="170" t="str">
        <x:v>Not recorded</x:v>
      </x:c>
      <x:c r="N20" s="170" t="str">
        <x:v>Not recorded</x:v>
      </x:c>
    </x:row>
    <x:row r="21" ht="15" hidden="0" customHeight="1">
      <x:c r="A21" s="220" t="n">
        <x:v>46237</x:v>
      </x:c>
      <x:c r="B21" s="170" t="str">
        <x:v>Back</x:v>
      </x:c>
      <x:c r="C21" s="170" t="str">
        <x:v>Straight-Arm Cable Pulldown</x:v>
      </x:c>
      <x:c r="D21" s="170" t="n">
        <x:v>4</x:v>
      </x:c>
      <x:c r="E21" s="170" t="n">
        <x:v>45</x:v>
      </x:c>
      <x:c r="F21" s="170" t="str">
        <x:v>kg</x:v>
      </x:c>
      <x:c r="G21" s="170" t="n">
        <x:v>10</x:v>
      </x:c>
      <x:c r="H21" s="170"/>
      <x:c r="I21" s="170"/>
      <x:c r="J21" s="170"/>
      <x:c r="K21" s="170"/>
      <x:c r="L21" s="170" t="str">
        <x:v>Next: 45 kg × 11–12</x:v>
      </x:c>
      <x:c r="M21" s="170" t="str">
        <x:v>Not recorded</x:v>
      </x:c>
      <x:c r="N21" s="170" t="str">
        <x:v>Not recorded</x:v>
      </x:c>
    </x:row>
    <x:row r="22" ht="15" hidden="0" customHeight="1">
      <x:c r="A22" s="220" t="n">
        <x:v>46237</x:v>
      </x:c>
      <x:c r="B22" s="170" t="str">
        <x:v>Back</x:v>
      </x:c>
      <x:c r="C22" s="170" t="str">
        <x:v>Iso-Lateral High Row</x:v>
      </x:c>
      <x:c r="D22" s="170" t="n">
        <x:v>1</x:v>
      </x:c>
      <x:c r="E22" s="170" t="n">
        <x:v>10</x:v>
      </x:c>
      <x:c r="F22" s="170" t="str">
        <x:v>kg plates each side</x:v>
      </x:c>
      <x:c r="G22" s="170" t="n">
        <x:v>15</x:v>
      </x:c>
      <x:c r="H22" s="170"/>
      <x:c r="I22" s="170"/>
      <x:c r="J22" s="170"/>
      <x:c r="K22" s="170"/>
      <x:c r="L22" s="170"/>
      <x:c r="M22" s="170" t="str">
        <x:v>Not recorded</x:v>
      </x:c>
      <x:c r="N22" s="170" t="str">
        <x:v>Not recorded</x:v>
      </x:c>
    </x:row>
    <x:row r="23" ht="15" hidden="0" customHeight="1">
      <x:c r="A23" s="220" t="n">
        <x:v>46237</x:v>
      </x:c>
      <x:c r="B23" s="170" t="str">
        <x:v>Back</x:v>
      </x:c>
      <x:c r="C23" s="170" t="str">
        <x:v>Iso-Lateral High Row</x:v>
      </x:c>
      <x:c r="D23" s="170" t="n">
        <x:v>2</x:v>
      </x:c>
      <x:c r="E23" s="170" t="n">
        <x:v>15</x:v>
      </x:c>
      <x:c r="F23" s="170" t="str">
        <x:v>kg plates each side</x:v>
      </x:c>
      <x:c r="G23" s="170" t="n">
        <x:v>10</x:v>
      </x:c>
      <x:c r="H23" s="170"/>
      <x:c r="I23" s="170"/>
      <x:c r="J23" s="170"/>
      <x:c r="K23" s="170"/>
      <x:c r="L23" s="170"/>
      <x:c r="M23" s="170" t="str">
        <x:v>Not recorded</x:v>
      </x:c>
      <x:c r="N23" s="170" t="str">
        <x:v>Not recorded</x:v>
      </x:c>
    </x:row>
    <x:row r="24" ht="26.399999618530273" hidden="0" customHeight="1">
      <x:c r="A24" s="220" t="n">
        <x:v>46237</x:v>
      </x:c>
      <x:c r="B24" s="170" t="str">
        <x:v>Back</x:v>
      </x:c>
      <x:c r="C24" s="170" t="str">
        <x:v>Iso-Lateral High Row</x:v>
      </x:c>
      <x:c r="D24" s="170" t="n">
        <x:v>3</x:v>
      </x:c>
      <x:c r="E24" s="170" t="n">
        <x:v>15</x:v>
      </x:c>
      <x:c r="F24" s="170" t="str">
        <x:v>kg plates each side</x:v>
      </x:c>
      <x:c r="G24" s="170" t="n">
        <x:v>10</x:v>
      </x:c>
      <x:c r="H24" s="170"/>
      <x:c r="I24" s="170"/>
      <x:c r="J24" s="170"/>
      <x:c r="K24" s="170"/>
      <x:c r="L24" s="170" t="str">
        <x:v>Use instead of another row when lower back is fatigued</x:v>
      </x:c>
      <x:c r="M24" s="170" t="str">
        <x:v>Not recorded</x:v>
      </x:c>
      <x:c r="N24" s="170" t="str">
        <x:v>Not recorded</x:v>
      </x:c>
    </x:row>
    <x:row r="25" ht="15" hidden="0" customHeight="1">
      <x:c r="A25" s="220" t="n">
        <x:v>46237</x:v>
      </x:c>
      <x:c r="B25" s="170" t="str">
        <x:v>Back</x:v>
      </x:c>
      <x:c r="C25" s="170" t="str">
        <x:v>Hyperextension</x:v>
      </x:c>
      <x:c r="D25" s="170" t="n">
        <x:v>1</x:v>
      </x:c>
      <x:c r="E25" s="170" t="n">
        <x:v>0</x:v>
      </x:c>
      <x:c r="F25" s="170" t="str">
        <x:v>bodyweight / plate held</x:v>
      </x:c>
      <x:c r="G25" s="170" t="n">
        <x:v>15</x:v>
      </x:c>
      <x:c r="H25" s="170"/>
      <x:c r="I25" s="170"/>
      <x:c r="J25" s="170"/>
      <x:c r="K25" s="170"/>
      <x:c r="L25" s="170"/>
      <x:c r="M25" s="170" t="str">
        <x:v>Not recorded</x:v>
      </x:c>
      <x:c r="N25" s="170" t="str">
        <x:v>Not recorded</x:v>
      </x:c>
    </x:row>
    <x:row r="26" ht="15" hidden="0" customHeight="1">
      <x:c r="A26" s="220" t="n">
        <x:v>46237</x:v>
      </x:c>
      <x:c r="B26" s="170" t="str">
        <x:v>Back</x:v>
      </x:c>
      <x:c r="C26" s="170" t="str">
        <x:v>Hyperextension</x:v>
      </x:c>
      <x:c r="D26" s="170" t="n">
        <x:v>2</x:v>
      </x:c>
      <x:c r="E26" s="170" t="n">
        <x:v>10</x:v>
      </x:c>
      <x:c r="F26" s="170" t="str">
        <x:v>bodyweight / plate held</x:v>
      </x:c>
      <x:c r="G26" s="170" t="n">
        <x:v>12</x:v>
      </x:c>
      <x:c r="H26" s="170"/>
      <x:c r="I26" s="170"/>
      <x:c r="J26" s="170"/>
      <x:c r="K26" s="170"/>
      <x:c r="L26" s="170"/>
      <x:c r="M26" s="170" t="str">
        <x:v>Not recorded</x:v>
      </x:c>
      <x:c r="N26" s="170" t="str">
        <x:v>Not recorded</x:v>
      </x:c>
    </x:row>
    <x:row r="27" ht="15" hidden="0" customHeight="1">
      <x:c r="A27" s="220" t="n">
        <x:v>46237</x:v>
      </x:c>
      <x:c r="B27" s="170" t="str">
        <x:v>Back</x:v>
      </x:c>
      <x:c r="C27" s="170" t="str">
        <x:v>Hyperextension</x:v>
      </x:c>
      <x:c r="D27" s="170" t="n">
        <x:v>3</x:v>
      </x:c>
      <x:c r="E27" s="170" t="n">
        <x:v>15</x:v>
      </x:c>
      <x:c r="F27" s="170" t="str">
        <x:v>bodyweight / plate held</x:v>
      </x:c>
      <x:c r="G27" s="170" t="n">
        <x:v>10</x:v>
      </x:c>
      <x:c r="H27" s="170" t="str">
        <x:v>Controlled; no overextension</x:v>
      </x:c>
      <x:c r="I27" s="170"/>
      <x:c r="J27" s="170"/>
      <x:c r="K27" s="170"/>
      <x:c r="L27" s="170" t="str">
        <x:v>Keep 10–15 kg controlled</x:v>
      </x:c>
      <x:c r="M27" s="170" t="str">
        <x:v>Not recorded</x:v>
      </x:c>
      <x:c r="N27" s="170" t="str">
        <x:v>Not recorded</x:v>
      </x:c>
    </x:row>
    <x:row r="28" ht="15" hidden="0" customHeight="1">
      <x:c r="A28" s="220" t="n">
        <x:v>46238</x:v>
      </x:c>
      <x:c r="B28" s="170" t="str">
        <x:v>Chest</x:v>
      </x:c>
      <x:c r="C28" s="170" t="str">
        <x:v>Flat Bench Press</x:v>
      </x:c>
      <x:c r="D28" s="170" t="n">
        <x:v>1</x:v>
      </x:c>
      <x:c r="E28" s="170" t="n">
        <x:v>15</x:v>
      </x:c>
      <x:c r="F28" s="170" t="str">
        <x:v>kg plates each side; bar excluded</x:v>
      </x:c>
      <x:c r="G28" s="170" t="n">
        <x:v>15</x:v>
      </x:c>
      <x:c r="H28" s="170"/>
      <x:c r="I28" s="170"/>
      <x:c r="J28" s="170"/>
      <x:c r="K28" s="170"/>
      <x:c r="L28" s="170"/>
      <x:c r="M28" s="170" t="str">
        <x:v>Not recorded</x:v>
      </x:c>
      <x:c r="N28" s="170" t="str">
        <x:v>Not recorded</x:v>
      </x:c>
    </x:row>
    <x:row r="29" ht="15" hidden="0" customHeight="1">
      <x:c r="A29" s="220" t="n">
        <x:v>46238</x:v>
      </x:c>
      <x:c r="B29" s="170" t="str">
        <x:v>Chest</x:v>
      </x:c>
      <x:c r="C29" s="170" t="str">
        <x:v>Flat Bench Press</x:v>
      </x:c>
      <x:c r="D29" s="170" t="n">
        <x:v>2</x:v>
      </x:c>
      <x:c r="E29" s="170" t="n">
        <x:v>17.5</x:v>
      </x:c>
      <x:c r="F29" s="170" t="str">
        <x:v>kg plates each side; bar excluded</x:v>
      </x:c>
      <x:c r="G29" s="170" t="n">
        <x:v>12</x:v>
      </x:c>
      <x:c r="H29" s="170"/>
      <x:c r="I29" s="170"/>
      <x:c r="J29" s="170"/>
      <x:c r="K29" s="170"/>
      <x:c r="L29" s="170"/>
      <x:c r="M29" s="170" t="str">
        <x:v>Not recorded</x:v>
      </x:c>
      <x:c r="N29" s="170" t="str">
        <x:v>Not recorded</x:v>
      </x:c>
    </x:row>
    <x:row r="30" ht="15" hidden="0" customHeight="1">
      <x:c r="A30" s="220" t="n">
        <x:v>46238</x:v>
      </x:c>
      <x:c r="B30" s="170" t="str">
        <x:v>Chest</x:v>
      </x:c>
      <x:c r="C30" s="170" t="str">
        <x:v>Flat Bench Press</x:v>
      </x:c>
      <x:c r="D30" s="170" t="n">
        <x:v>3</x:v>
      </x:c>
      <x:c r="E30" s="170" t="n">
        <x:v>20</x:v>
      </x:c>
      <x:c r="F30" s="170" t="str">
        <x:v>kg plates each side; bar excluded</x:v>
      </x:c>
      <x:c r="G30" s="170" t="n">
        <x:v>9</x:v>
      </x:c>
      <x:c r="H30" s="170"/>
      <x:c r="I30" s="170"/>
      <x:c r="J30" s="170"/>
      <x:c r="K30" s="170"/>
      <x:c r="L30" s="170"/>
      <x:c r="M30" s="170" t="str">
        <x:v>Not recorded</x:v>
      </x:c>
      <x:c r="N30" s="170" t="str">
        <x:v>Not recorded</x:v>
      </x:c>
    </x:row>
    <x:row r="31" ht="26.399999618530273" hidden="0" customHeight="1">
      <x:c r="A31" s="220" t="n">
        <x:v>46238</x:v>
      </x:c>
      <x:c r="B31" s="170" t="str">
        <x:v>Chest</x:v>
      </x:c>
      <x:c r="C31" s="170" t="str">
        <x:v>Flat Bench Press</x:v>
      </x:c>
      <x:c r="D31" s="170" t="n">
        <x:v>4</x:v>
      </x:c>
      <x:c r="E31" s="170" t="n">
        <x:v>22.5</x:v>
      </x:c>
      <x:c r="F31" s="170" t="str">
        <x:v>kg plates each side; bar excluded</x:v>
      </x:c>
      <x:c r="G31" s="170" t="n">
        <x:v>6</x:v>
      </x:c>
      <x:c r="H31" s="170"/>
      <x:c r="I31" s="170" t="str">
        <x:v>No pain; later mild side-deltoid soreness</x:v>
      </x:c>
      <x:c r="J31" s="170" t="str">
        <x:v>Medium</x:v>
      </x:c>
      <x:c r="K31" s="170" t="str">
        <x:v>Good</x:v>
      </x:c>
      <x:c r="L31" s="170" t="str">
        <x:v>Next: 20 kg/side × 10; 22.5 kg/side toward 8</x:v>
      </x:c>
      <x:c r="M31" s="170" t="str">
        <x:v>Not recorded</x:v>
      </x:c>
      <x:c r="N31" s="170" t="str">
        <x:v>Not recorded</x:v>
      </x:c>
    </x:row>
    <x:row r="32" ht="15" hidden="0" customHeight="1">
      <x:c r="A32" s="220" t="n">
        <x:v>46238</x:v>
      </x:c>
      <x:c r="B32" s="170" t="str">
        <x:v>Chest</x:v>
      </x:c>
      <x:c r="C32" s="170" t="str">
        <x:v>Incline Dumbbell Press</x:v>
      </x:c>
      <x:c r="D32" s="170" t="n">
        <x:v>1</x:v>
      </x:c>
      <x:c r="E32" s="170" t="n">
        <x:v>17.5</x:v>
      </x:c>
      <x:c r="F32" s="170" t="str">
        <x:v>kg each dumbbell</x:v>
      </x:c>
      <x:c r="G32" s="170" t="n">
        <x:v>14</x:v>
      </x:c>
      <x:c r="H32" s="170"/>
      <x:c r="I32" s="170"/>
      <x:c r="J32" s="170"/>
      <x:c r="K32" s="170"/>
      <x:c r="L32" s="170"/>
      <x:c r="M32" s="170" t="str">
        <x:v>Not recorded</x:v>
      </x:c>
      <x:c r="N32" s="170" t="str">
        <x:v>Not recorded</x:v>
      </x:c>
    </x:row>
    <x:row r="33" ht="15" hidden="0" customHeight="1">
      <x:c r="A33" s="220" t="n">
        <x:v>46238</x:v>
      </x:c>
      <x:c r="B33" s="170" t="str">
        <x:v>Chest</x:v>
      </x:c>
      <x:c r="C33" s="170" t="str">
        <x:v>Incline Dumbbell Press</x:v>
      </x:c>
      <x:c r="D33" s="170" t="n">
        <x:v>2</x:v>
      </x:c>
      <x:c r="E33" s="170" t="n">
        <x:v>20</x:v>
      </x:c>
      <x:c r="F33" s="170" t="str">
        <x:v>kg each dumbbell</x:v>
      </x:c>
      <x:c r="G33" s="170" t="n">
        <x:v>10</x:v>
      </x:c>
      <x:c r="H33" s="170"/>
      <x:c r="I33" s="170"/>
      <x:c r="J33" s="170"/>
      <x:c r="K33" s="170"/>
      <x:c r="L33" s="170"/>
      <x:c r="M33" s="170" t="str">
        <x:v>Not recorded</x:v>
      </x:c>
      <x:c r="N33" s="170" t="str">
        <x:v>Not recorded</x:v>
      </x:c>
    </x:row>
    <x:row r="34" ht="15" hidden="0" customHeight="1">
      <x:c r="A34" s="220" t="n">
        <x:v>46238</x:v>
      </x:c>
      <x:c r="B34" s="170" t="str">
        <x:v>Chest</x:v>
      </x:c>
      <x:c r="C34" s="170" t="str">
        <x:v>Incline Dumbbell Press</x:v>
      </x:c>
      <x:c r="D34" s="170" t="n">
        <x:v>3</x:v>
      </x:c>
      <x:c r="E34" s="170" t="n">
        <x:v>22.5</x:v>
      </x:c>
      <x:c r="F34" s="170" t="str">
        <x:v>kg each dumbbell</x:v>
      </x:c>
      <x:c r="G34" s="170" t="n">
        <x:v>8</x:v>
      </x:c>
      <x:c r="H34" s="170"/>
      <x:c r="I34" s="170"/>
      <x:c r="J34" s="170"/>
      <x:c r="K34" s="170"/>
      <x:c r="L34" s="170" t="str">
        <x:v>Next: 20 kg × 11–12; 22.5 kg × 9–10</x:v>
      </x:c>
      <x:c r="M34" s="170" t="str">
        <x:v>Not recorded</x:v>
      </x:c>
      <x:c r="N34" s="170" t="str">
        <x:v>Not recorded</x:v>
      </x:c>
    </x:row>
    <x:row r="35" ht="26.399999618530273" hidden="0" customHeight="1">
      <x:c r="A35" s="220" t="n">
        <x:v>46238</x:v>
      </x:c>
      <x:c r="B35" s="170" t="str">
        <x:v>Chest</x:v>
      </x:c>
      <x:c r="C35" s="170" t="str">
        <x:v>Plate-Loaded Converging Chest Press</x:v>
      </x:c>
      <x:c r="D35" s="170" t="n">
        <x:v>1</x:v>
      </x:c>
      <x:c r="E35" s="170" t="n">
        <x:v>30</x:v>
      </x:c>
      <x:c r="F35" s="170" t="str">
        <x:v>kg plates each side</x:v>
      </x:c>
      <x:c r="G35" s="170" t="n">
        <x:v>15</x:v>
      </x:c>
      <x:c r="H35" s="170"/>
      <x:c r="I35" s="170"/>
      <x:c r="J35" s="170"/>
      <x:c r="K35" s="170"/>
      <x:c r="L35" s="170"/>
      <x:c r="M35" s="170" t="str">
        <x:v>Not recorded</x:v>
      </x:c>
      <x:c r="N35" s="170" t="str">
        <x:v>Not recorded</x:v>
      </x:c>
    </x:row>
    <x:row r="36" ht="26.399999618530273" hidden="0" customHeight="1">
      <x:c r="A36" s="220" t="n">
        <x:v>46238</x:v>
      </x:c>
      <x:c r="B36" s="170" t="str">
        <x:v>Chest</x:v>
      </x:c>
      <x:c r="C36" s="170" t="str">
        <x:v>Plate-Loaded Converging Chest Press</x:v>
      </x:c>
      <x:c r="D36" s="170" t="n">
        <x:v>2</x:v>
      </x:c>
      <x:c r="E36" s="170" t="n">
        <x:v>40</x:v>
      </x:c>
      <x:c r="F36" s="170" t="str">
        <x:v>kg plates each side</x:v>
      </x:c>
      <x:c r="G36" s="170" t="n">
        <x:v>9</x:v>
      </x:c>
      <x:c r="H36" s="170"/>
      <x:c r="I36" s="170"/>
      <x:c r="J36" s="170"/>
      <x:c r="K36" s="170"/>
      <x:c r="L36" s="170"/>
      <x:c r="M36" s="170" t="str">
        <x:v>Not recorded</x:v>
      </x:c>
      <x:c r="N36" s="170" t="str">
        <x:v>Not recorded</x:v>
      </x:c>
    </x:row>
    <x:row r="37" ht="26.399999618530273" hidden="0" customHeight="1">
      <x:c r="A37" s="220" t="n">
        <x:v>46238</x:v>
      </x:c>
      <x:c r="B37" s="170" t="str">
        <x:v>Chest</x:v>
      </x:c>
      <x:c r="C37" s="170" t="str">
        <x:v>Plate-Loaded Converging Chest Press</x:v>
      </x:c>
      <x:c r="D37" s="170" t="n">
        <x:v>3</x:v>
      </x:c>
      <x:c r="E37" s="170" t="n">
        <x:v>40</x:v>
      </x:c>
      <x:c r="F37" s="170" t="str">
        <x:v>kg plates each side</x:v>
      </x:c>
      <x:c r="G37" s="170" t="n">
        <x:v>8</x:v>
      </x:c>
      <x:c r="H37" s="170"/>
      <x:c r="I37" s="170"/>
      <x:c r="J37" s="170"/>
      <x:c r="K37" s="170"/>
      <x:c r="L37" s="170" t="str">
        <x:v>Next: 40 kg/side × 10 for 2 sets</x:v>
      </x:c>
      <x:c r="M37" s="170" t="str">
        <x:v>Not recorded</x:v>
      </x:c>
      <x:c r="N37" s="170" t="str">
        <x:v>Not recorded</x:v>
      </x:c>
    </x:row>
    <x:row r="38" ht="15" hidden="0" customHeight="1">
      <x:c r="A38" s="220" t="n">
        <x:v>46238</x:v>
      </x:c>
      <x:c r="B38" s="170" t="str">
        <x:v>Chest</x:v>
      </x:c>
      <x:c r="C38" s="170" t="str">
        <x:v>Decline Bench Press</x:v>
      </x:c>
      <x:c r="D38" s="170" t="n">
        <x:v>1</x:v>
      </x:c>
      <x:c r="E38" s="170" t="n">
        <x:v>15</x:v>
      </x:c>
      <x:c r="F38" s="170" t="str">
        <x:v>kg plates each side</x:v>
      </x:c>
      <x:c r="G38" s="170" t="n">
        <x:v>8</x:v>
      </x:c>
      <x:c r="H38" s="170"/>
      <x:c r="I38" s="170"/>
      <x:c r="J38" s="170"/>
      <x:c r="K38" s="170"/>
      <x:c r="L38" s="170"/>
      <x:c r="M38" s="170" t="str">
        <x:v>Not recorded</x:v>
      </x:c>
      <x:c r="N38" s="170" t="str">
        <x:v>Not recorded</x:v>
      </x:c>
    </x:row>
    <x:row r="39" ht="15" hidden="0" customHeight="1">
      <x:c r="A39" s="220" t="n">
        <x:v>46238</x:v>
      </x:c>
      <x:c r="B39" s="170" t="str">
        <x:v>Chest</x:v>
      </x:c>
      <x:c r="C39" s="170" t="str">
        <x:v>Decline Bench Press</x:v>
      </x:c>
      <x:c r="D39" s="170" t="n">
        <x:v>2</x:v>
      </x:c>
      <x:c r="E39" s="170" t="n">
        <x:v>15</x:v>
      </x:c>
      <x:c r="F39" s="170" t="str">
        <x:v>kg plates each side</x:v>
      </x:c>
      <x:c r="G39" s="170" t="n">
        <x:v>6</x:v>
      </x:c>
      <x:c r="H39" s="170"/>
      <x:c r="I39" s="170"/>
      <x:c r="J39" s="170"/>
      <x:c r="K39" s="170"/>
      <x:c r="L39" s="170" t="str">
        <x:v>Do not use as 4th press next time</x:v>
      </x:c>
      <x:c r="M39" s="170" t="str">
        <x:v>Not recorded</x:v>
      </x:c>
      <x:c r="N39" s="170" t="str">
        <x:v>Not recorded</x:v>
      </x:c>
    </x:row>
    <x:row r="40" ht="15" hidden="0" customHeight="1">
      <x:c r="A40" s="220" t="n">
        <x:v>46238</x:v>
      </x:c>
      <x:c r="B40" s="170" t="str">
        <x:v>Chest</x:v>
      </x:c>
      <x:c r="C40" s="170" t="str">
        <x:v>Cable Fly</x:v>
      </x:c>
      <x:c r="D40" s="170" t="n">
        <x:v>1</x:v>
      </x:c>
      <x:c r="E40" s="170" t="n">
        <x:v>15</x:v>
      </x:c>
      <x:c r="F40" s="170" t="str">
        <x:v>kg each side</x:v>
      </x:c>
      <x:c r="G40" s="170" t="n">
        <x:v>15</x:v>
      </x:c>
      <x:c r="H40" s="170"/>
      <x:c r="I40" s="170"/>
      <x:c r="J40" s="170"/>
      <x:c r="K40" s="170"/>
      <x:c r="L40" s="170"/>
      <x:c r="M40" s="170" t="str">
        <x:v>Not recorded</x:v>
      </x:c>
      <x:c r="N40" s="170" t="str">
        <x:v>Not recorded</x:v>
      </x:c>
    </x:row>
    <x:row r="41" ht="15" hidden="0" customHeight="1">
      <x:c r="A41" s="220" t="n">
        <x:v>46238</x:v>
      </x:c>
      <x:c r="B41" s="170" t="str">
        <x:v>Chest</x:v>
      </x:c>
      <x:c r="C41" s="170" t="str">
        <x:v>Cable Fly</x:v>
      </x:c>
      <x:c r="D41" s="170" t="n">
        <x:v>2</x:v>
      </x:c>
      <x:c r="E41" s="170" t="n">
        <x:v>20</x:v>
      </x:c>
      <x:c r="F41" s="170" t="str">
        <x:v>kg each side</x:v>
      </x:c>
      <x:c r="G41" s="170" t="n">
        <x:v>12</x:v>
      </x:c>
      <x:c r="H41" s="170"/>
      <x:c r="I41" s="170"/>
      <x:c r="J41" s="170"/>
      <x:c r="K41" s="170"/>
      <x:c r="L41" s="170"/>
      <x:c r="M41" s="170" t="str">
        <x:v>Not recorded</x:v>
      </x:c>
      <x:c r="N41" s="170" t="str">
        <x:v>Not recorded</x:v>
      </x:c>
    </x:row>
    <x:row r="42" ht="15" hidden="0" customHeight="1">
      <x:c r="A42" s="220" t="n">
        <x:v>46238</x:v>
      </x:c>
      <x:c r="B42" s="170" t="str">
        <x:v>Chest</x:v>
      </x:c>
      <x:c r="C42" s="170" t="str">
        <x:v>Cable Fly</x:v>
      </x:c>
      <x:c r="D42" s="170" t="n">
        <x:v>3</x:v>
      </x:c>
      <x:c r="E42" s="170" t="n">
        <x:v>25</x:v>
      </x:c>
      <x:c r="F42" s="170" t="str">
        <x:v>kg each side</x:v>
      </x:c>
      <x:c r="G42" s="170" t="n">
        <x:v>12</x:v>
      </x:c>
      <x:c r="H42" s="170" t="str">
        <x:v>25 kg set had questionable form</x:v>
      </x:c>
      <x:c r="I42" s="170"/>
      <x:c r="J42" s="170"/>
      <x:c r="K42" s="170"/>
      <x:c r="L42" s="170" t="str">
        <x:v>Stay at 15–20 kg until 20 kg × 13–15 clean</x:v>
      </x:c>
      <x:c r="M42" s="170" t="str">
        <x:v>Not recorded</x:v>
      </x:c>
      <x:c r="N42" s="170" t="str">
        <x:v>Not recorded</x:v>
      </x:c>
    </x:row>
    <x:row r="43" ht="15" hidden="0" customHeight="1">
      <x:c r="A43" s="220" t="n">
        <x:v>46238</x:v>
      </x:c>
      <x:c r="B43" s="170" t="str">
        <x:v>Chest</x:v>
      </x:c>
      <x:c r="C43" s="170" t="str">
        <x:v>Pec Deck Fly</x:v>
      </x:c>
      <x:c r="D43" s="170" t="n">
        <x:v>1</x:v>
      </x:c>
      <x:c r="E43" s="170" t="n">
        <x:v>45</x:v>
      </x:c>
      <x:c r="F43" s="170" t="str">
        <x:v>kg machine stack</x:v>
      </x:c>
      <x:c r="G43" s="170" t="n">
        <x:v>15</x:v>
      </x:c>
      <x:c r="H43" s="170"/>
      <x:c r="I43" s="170"/>
      <x:c r="J43" s="170"/>
      <x:c r="K43" s="170"/>
      <x:c r="L43" s="170"/>
      <x:c r="M43" s="170" t="str">
        <x:v>Not recorded</x:v>
      </x:c>
      <x:c r="N43" s="170" t="str">
        <x:v>Not recorded</x:v>
      </x:c>
    </x:row>
    <x:row r="44" ht="15" hidden="0" customHeight="1">
      <x:c r="A44" s="220" t="n">
        <x:v>46238</x:v>
      </x:c>
      <x:c r="B44" s="170" t="str">
        <x:v>Chest</x:v>
      </x:c>
      <x:c r="C44" s="170" t="str">
        <x:v>Pec Deck Fly</x:v>
      </x:c>
      <x:c r="D44" s="170" t="n">
        <x:v>2</x:v>
      </x:c>
      <x:c r="E44" s="170" t="n">
        <x:v>50</x:v>
      </x:c>
      <x:c r="F44" s="170" t="str">
        <x:v>kg machine stack</x:v>
      </x:c>
      <x:c r="G44" s="170" t="n">
        <x:v>12</x:v>
      </x:c>
      <x:c r="H44" s="170"/>
      <x:c r="I44" s="170"/>
      <x:c r="J44" s="170"/>
      <x:c r="K44" s="170"/>
      <x:c r="L44" s="170"/>
      <x:c r="M44" s="170" t="str">
        <x:v>Not recorded</x:v>
      </x:c>
      <x:c r="N44" s="170" t="str">
        <x:v>Not recorded</x:v>
      </x:c>
    </x:row>
    <x:row r="45" ht="15" hidden="0" customHeight="1">
      <x:c r="A45" s="220" t="n">
        <x:v>46238</x:v>
      </x:c>
      <x:c r="B45" s="170" t="str">
        <x:v>Chest</x:v>
      </x:c>
      <x:c r="C45" s="170" t="str">
        <x:v>Pec Deck Fly</x:v>
      </x:c>
      <x:c r="D45" s="170" t="n">
        <x:v>3</x:v>
      </x:c>
      <x:c r="E45" s="170" t="n">
        <x:v>55</x:v>
      </x:c>
      <x:c r="F45" s="170" t="str">
        <x:v>kg machine stack</x:v>
      </x:c>
      <x:c r="G45" s="170" t="n">
        <x:v>10</x:v>
      </x:c>
      <x:c r="H45" s="170"/>
      <x:c r="I45" s="170"/>
      <x:c r="J45" s="170"/>
      <x:c r="K45" s="170"/>
      <x:c r="L45" s="170" t="str">
        <x:v>Next: 55 kg × 11–12</x:v>
      </x:c>
      <x:c r="M45" s="170" t="str">
        <x:v>Not recorded</x:v>
      </x:c>
      <x:c r="N45" s="170" t="str">
        <x:v>Not recorded</x:v>
      </x:c>
    </x:row>
    <x:row r="46" ht="15" hidden="0" customHeight="1">
      <x:c r="A46" s="220" t="n">
        <x:v>46239</x:v>
      </x:c>
      <x:c r="B46" s="170" t="str">
        <x:v>Biceps</x:v>
      </x:c>
      <x:c r="C46" s="170" t="str">
        <x:v>EZ Bar Curl</x:v>
      </x:c>
      <x:c r="D46" s="170" t="n">
        <x:v>1</x:v>
      </x:c>
      <x:c r="E46" s="170" t="n">
        <x:v>7.5</x:v>
      </x:c>
      <x:c r="F46" s="170" t="str">
        <x:v>kg plates each side</x:v>
      </x:c>
      <x:c r="G46" s="170" t="n">
        <x:v>15</x:v>
      </x:c>
      <x:c r="H46" s="170"/>
      <x:c r="I46" s="170"/>
      <x:c r="J46" s="170"/>
      <x:c r="K46" s="170"/>
      <x:c r="L46" s="170"/>
      <x:c r="M46" s="170" t="str">
        <x:v>Not recorded</x:v>
      </x:c>
      <x:c r="N46" s="170" t="str">
        <x:v>Not recorded</x:v>
      </x:c>
    </x:row>
    <x:row r="47" ht="15" hidden="0" customHeight="1">
      <x:c r="A47" s="220" t="n">
        <x:v>46239</x:v>
      </x:c>
      <x:c r="B47" s="170" t="str">
        <x:v>Biceps</x:v>
      </x:c>
      <x:c r="C47" s="170" t="str">
        <x:v>EZ Bar Curl</x:v>
      </x:c>
      <x:c r="D47" s="170" t="n">
        <x:v>2</x:v>
      </x:c>
      <x:c r="E47" s="170" t="n">
        <x:v>10</x:v>
      </x:c>
      <x:c r="F47" s="170" t="str">
        <x:v>kg plates each side</x:v>
      </x:c>
      <x:c r="G47" s="170" t="n">
        <x:v>12</x:v>
      </x:c>
      <x:c r="H47" s="170"/>
      <x:c r="I47" s="170"/>
      <x:c r="J47" s="170"/>
      <x:c r="K47" s="170"/>
      <x:c r="L47" s="170"/>
      <x:c r="M47" s="170" t="str">
        <x:v>Not recorded</x:v>
      </x:c>
      <x:c r="N47" s="170" t="str">
        <x:v>Not recorded</x:v>
      </x:c>
    </x:row>
    <x:row r="48" ht="15" hidden="0" customHeight="1">
      <x:c r="A48" s="220" t="n">
        <x:v>46239</x:v>
      </x:c>
      <x:c r="B48" s="170" t="str">
        <x:v>Biceps</x:v>
      </x:c>
      <x:c r="C48" s="170" t="str">
        <x:v>EZ Bar Curl</x:v>
      </x:c>
      <x:c r="D48" s="170" t="n">
        <x:v>3</x:v>
      </x:c>
      <x:c r="E48" s="170" t="n">
        <x:v>12.5</x:v>
      </x:c>
      <x:c r="F48" s="170" t="str">
        <x:v>kg plates each side</x:v>
      </x:c>
      <x:c r="G48" s="170" t="n">
        <x:v>9</x:v>
      </x:c>
      <x:c r="H48" s="170"/>
      <x:c r="I48" s="170"/>
      <x:c r="J48" s="170"/>
      <x:c r="K48" s="170"/>
      <x:c r="L48" s="170"/>
      <x:c r="M48" s="170" t="str">
        <x:v>Not recorded</x:v>
      </x:c>
      <x:c r="N48" s="170" t="str">
        <x:v>Not recorded</x:v>
      </x:c>
    </x:row>
    <x:row r="49" ht="26.399999618530273" hidden="0" customHeight="1">
      <x:c r="A49" s="220" t="n">
        <x:v>46239</x:v>
      </x:c>
      <x:c r="B49" s="170" t="str">
        <x:v>Biceps</x:v>
      </x:c>
      <x:c r="C49" s="170" t="str">
        <x:v>EZ Bar Curl</x:v>
      </x:c>
      <x:c r="D49" s="170" t="n">
        <x:v>4</x:v>
      </x:c>
      <x:c r="E49" s="170" t="n">
        <x:v>15</x:v>
      </x:c>
      <x:c r="F49" s="170" t="str">
        <x:v>kg plates each side</x:v>
      </x:c>
      <x:c r="G49" s="170" t="n">
        <x:v>7</x:v>
      </x:c>
      <x:c r="H49" s="170"/>
      <x:c r="I49" s="170" t="str">
        <x:v>Side-deltoid soreness 3/10 before workout; muscular, not joint</x:v>
      </x:c>
      <x:c r="J49" s="170"/>
      <x:c r="K49" s="170"/>
      <x:c r="L49" s="170" t="str">
        <x:v>Next: 12.5 kg/side × 10; 15 kg/side × 8</x:v>
      </x:c>
      <x:c r="M49" s="170" t="str">
        <x:v>Not recorded</x:v>
      </x:c>
      <x:c r="N49" s="170" t="str">
        <x:v>Not recorded</x:v>
      </x:c>
    </x:row>
    <x:row r="50" ht="15" hidden="0" customHeight="1">
      <x:c r="A50" s="220" t="n">
        <x:v>46239</x:v>
      </x:c>
      <x:c r="B50" s="170" t="str">
        <x:v>Biceps</x:v>
      </x:c>
      <x:c r="C50" s="170" t="str">
        <x:v>Hammer Dumbbell Curl</x:v>
      </x:c>
      <x:c r="D50" s="170" t="n">
        <x:v>1</x:v>
      </x:c>
      <x:c r="E50" s="170" t="n">
        <x:v>12.5</x:v>
      </x:c>
      <x:c r="F50" s="170" t="str">
        <x:v>kg each dumbbell</x:v>
      </x:c>
      <x:c r="G50" s="170" t="n">
        <x:v>15</x:v>
      </x:c>
      <x:c r="H50" s="170"/>
      <x:c r="I50" s="170"/>
      <x:c r="J50" s="170"/>
      <x:c r="K50" s="170"/>
      <x:c r="L50" s="170"/>
      <x:c r="M50" s="170" t="str">
        <x:v>Not recorded</x:v>
      </x:c>
      <x:c r="N50" s="170" t="str">
        <x:v>Not recorded</x:v>
      </x:c>
    </x:row>
    <x:row r="51" ht="15" hidden="0" customHeight="1">
      <x:c r="A51" s="220" t="n">
        <x:v>46239</x:v>
      </x:c>
      <x:c r="B51" s="170" t="str">
        <x:v>Biceps</x:v>
      </x:c>
      <x:c r="C51" s="170" t="str">
        <x:v>Hammer Dumbbell Curl</x:v>
      </x:c>
      <x:c r="D51" s="170" t="n">
        <x:v>2</x:v>
      </x:c>
      <x:c r="E51" s="170" t="n">
        <x:v>15</x:v>
      </x:c>
      <x:c r="F51" s="170" t="str">
        <x:v>kg each dumbbell</x:v>
      </x:c>
      <x:c r="G51" s="170" t="n">
        <x:v>12</x:v>
      </x:c>
      <x:c r="H51" s="170"/>
      <x:c r="I51" s="170"/>
      <x:c r="J51" s="170"/>
      <x:c r="K51" s="170"/>
      <x:c r="L51" s="170"/>
      <x:c r="M51" s="170" t="str">
        <x:v>Not recorded</x:v>
      </x:c>
      <x:c r="N51" s="170" t="str">
        <x:v>Not recorded</x:v>
      </x:c>
    </x:row>
    <x:row r="52" ht="15" hidden="0" customHeight="1">
      <x:c r="A52" s="220" t="n">
        <x:v>46239</x:v>
      </x:c>
      <x:c r="B52" s="170" t="str">
        <x:v>Biceps</x:v>
      </x:c>
      <x:c r="C52" s="170" t="str">
        <x:v>Hammer Dumbbell Curl</x:v>
      </x:c>
      <x:c r="D52" s="170" t="n">
        <x:v>3</x:v>
      </x:c>
      <x:c r="E52" s="170" t="n">
        <x:v>17.5</x:v>
      </x:c>
      <x:c r="F52" s="170" t="str">
        <x:v>kg each dumbbell</x:v>
      </x:c>
      <x:c r="G52" s="170" t="n">
        <x:v>10</x:v>
      </x:c>
      <x:c r="H52" s="170"/>
      <x:c r="I52" s="170"/>
      <x:c r="J52" s="170"/>
      <x:c r="K52" s="170"/>
      <x:c r="L52" s="170" t="str">
        <x:v>Next: 17.5 kg × 11–12</x:v>
      </x:c>
      <x:c r="M52" s="170" t="str">
        <x:v>Not recorded</x:v>
      </x:c>
      <x:c r="N52" s="170" t="str">
        <x:v>Not recorded</x:v>
      </x:c>
    </x:row>
    <x:row r="53" ht="15" hidden="0" customHeight="1">
      <x:c r="A53" s="220" t="n">
        <x:v>46239</x:v>
      </x:c>
      <x:c r="B53" s="170" t="str">
        <x:v>Biceps</x:v>
      </x:c>
      <x:c r="C53" s="170" t="str">
        <x:v>Plate-Loaded Biceps Curl</x:v>
      </x:c>
      <x:c r="D53" s="170" t="n">
        <x:v>1</x:v>
      </x:c>
      <x:c r="E53" s="170" t="n">
        <x:v>5</x:v>
      </x:c>
      <x:c r="F53" s="170" t="str">
        <x:v>kg plates each side</x:v>
      </x:c>
      <x:c r="G53" s="170" t="n">
        <x:v>17</x:v>
      </x:c>
      <x:c r="H53" s="170"/>
      <x:c r="I53" s="170"/>
      <x:c r="J53" s="170"/>
      <x:c r="K53" s="170"/>
      <x:c r="L53" s="170"/>
      <x:c r="M53" s="170" t="str">
        <x:v>Not recorded</x:v>
      </x:c>
      <x:c r="N53" s="170" t="str">
        <x:v>Not recorded</x:v>
      </x:c>
    </x:row>
    <x:row r="54" ht="15" hidden="0" customHeight="1">
      <x:c r="A54" s="220" t="n">
        <x:v>46239</x:v>
      </x:c>
      <x:c r="B54" s="170" t="str">
        <x:v>Biceps</x:v>
      </x:c>
      <x:c r="C54" s="170" t="str">
        <x:v>Plate-Loaded Biceps Curl</x:v>
      </x:c>
      <x:c r="D54" s="170" t="n">
        <x:v>2</x:v>
      </x:c>
      <x:c r="E54" s="170" t="n">
        <x:v>7.5</x:v>
      </x:c>
      <x:c r="F54" s="170" t="str">
        <x:v>kg plates each side</x:v>
      </x:c>
      <x:c r="G54" s="170" t="n">
        <x:v>13</x:v>
      </x:c>
      <x:c r="H54" s="170"/>
      <x:c r="I54" s="170"/>
      <x:c r="J54" s="170"/>
      <x:c r="K54" s="170"/>
      <x:c r="L54" s="170"/>
      <x:c r="M54" s="170" t="str">
        <x:v>Not recorded</x:v>
      </x:c>
      <x:c r="N54" s="170" t="str">
        <x:v>Not recorded</x:v>
      </x:c>
    </x:row>
    <x:row r="55" ht="15" hidden="0" customHeight="1">
      <x:c r="A55" s="220" t="n">
        <x:v>46239</x:v>
      </x:c>
      <x:c r="B55" s="170" t="str">
        <x:v>Biceps</x:v>
      </x:c>
      <x:c r="C55" s="170" t="str">
        <x:v>Plate-Loaded Biceps Curl</x:v>
      </x:c>
      <x:c r="D55" s="170" t="n">
        <x:v>3</x:v>
      </x:c>
      <x:c r="E55" s="170" t="n">
        <x:v>10</x:v>
      </x:c>
      <x:c r="F55" s="170" t="str">
        <x:v>kg plates each side</x:v>
      </x:c>
      <x:c r="G55" s="170" t="n">
        <x:v>11</x:v>
      </x:c>
      <x:c r="H55" s="170"/>
      <x:c r="I55" s="170"/>
      <x:c r="J55" s="170"/>
      <x:c r="K55" s="170"/>
      <x:c r="L55" s="170"/>
      <x:c r="M55" s="170" t="str">
        <x:v>Not recorded</x:v>
      </x:c>
      <x:c r="N55" s="170" t="str">
        <x:v>Not recorded</x:v>
      </x:c>
    </x:row>
    <x:row r="56" ht="26.399999618530273" hidden="0" customHeight="1">
      <x:c r="A56" s="220" t="n">
        <x:v>46239</x:v>
      </x:c>
      <x:c r="B56" s="170" t="str">
        <x:v>Biceps</x:v>
      </x:c>
      <x:c r="C56" s="170" t="str">
        <x:v>Plate-Loaded Biceps Curl</x:v>
      </x:c>
      <x:c r="D56" s="170" t="n">
        <x:v>4</x:v>
      </x:c>
      <x:c r="E56" s="170" t="n">
        <x:v>10.25</x:v>
      </x:c>
      <x:c r="F56" s="170" t="str">
        <x:v>kg plates each side</x:v>
      </x:c>
      <x:c r="G56" s="170" t="n">
        <x:v>9</x:v>
      </x:c>
      <x:c r="H56" s="170" t="str">
        <x:v>Last weight recorded as 10.25 kg; verify next session</x:v>
      </x:c>
      <x:c r="I56" s="170"/>
      <x:c r="J56" s="170"/>
      <x:c r="K56" s="170"/>
      <x:c r="L56" s="170" t="str">
        <x:v>Next: 10 kg/side × 12; confirm 10.25 entry</x:v>
      </x:c>
      <x:c r="M56" s="170" t="str">
        <x:v>Not recorded</x:v>
      </x:c>
      <x:c r="N56" s="170" t="str">
        <x:v>Not recorded</x:v>
      </x:c>
    </x:row>
    <x:row r="57" ht="15" hidden="0" customHeight="1">
      <x:c r="A57" s="220" t="n">
        <x:v>46239</x:v>
      </x:c>
      <x:c r="B57" s="170" t="str">
        <x:v>Biceps</x:v>
      </x:c>
      <x:c r="C57" s="170" t="str">
        <x:v>Cable Curl</x:v>
      </x:c>
      <x:c r="D57" s="170" t="n">
        <x:v>1</x:v>
      </x:c>
      <x:c r="E57" s="170" t="n">
        <x:v>30</x:v>
      </x:c>
      <x:c r="F57" s="170" t="str">
        <x:v>kg</x:v>
      </x:c>
      <x:c r="G57" s="170" t="n">
        <x:v>15</x:v>
      </x:c>
      <x:c r="H57" s="170"/>
      <x:c r="I57" s="170"/>
      <x:c r="J57" s="170"/>
      <x:c r="K57" s="170"/>
      <x:c r="L57" s="170"/>
      <x:c r="M57" s="170" t="str">
        <x:v>Not recorded</x:v>
      </x:c>
      <x:c r="N57" s="170" t="str">
        <x:v>Not recorded</x:v>
      </x:c>
    </x:row>
    <x:row r="58" ht="15" hidden="0" customHeight="1">
      <x:c r="A58" s="220" t="n">
        <x:v>46239</x:v>
      </x:c>
      <x:c r="B58" s="170" t="str">
        <x:v>Biceps</x:v>
      </x:c>
      <x:c r="C58" s="170" t="str">
        <x:v>Cable Curl</x:v>
      </x:c>
      <x:c r="D58" s="170" t="n">
        <x:v>2</x:v>
      </x:c>
      <x:c r="E58" s="170" t="n">
        <x:v>35</x:v>
      </x:c>
      <x:c r="F58" s="170" t="str">
        <x:v>kg</x:v>
      </x:c>
      <x:c r="G58" s="170" t="n">
        <x:v>12</x:v>
      </x:c>
      <x:c r="H58" s="170"/>
      <x:c r="I58" s="170"/>
      <x:c r="J58" s="170"/>
      <x:c r="K58" s="170"/>
      <x:c r="L58" s="170"/>
      <x:c r="M58" s="170" t="str">
        <x:v>Not recorded</x:v>
      </x:c>
      <x:c r="N58" s="170" t="str">
        <x:v>Not recorded</x:v>
      </x:c>
    </x:row>
    <x:row r="59" ht="15" hidden="0" customHeight="1">
      <x:c r="A59" s="220" t="n">
        <x:v>46239</x:v>
      </x:c>
      <x:c r="B59" s="170" t="str">
        <x:v>Biceps</x:v>
      </x:c>
      <x:c r="C59" s="170" t="str">
        <x:v>Cable Curl</x:v>
      </x:c>
      <x:c r="D59" s="170" t="n">
        <x:v>3</x:v>
      </x:c>
      <x:c r="E59" s="170" t="n">
        <x:v>40</x:v>
      </x:c>
      <x:c r="F59" s="170" t="str">
        <x:v>kg</x:v>
      </x:c>
      <x:c r="G59" s="170" t="n">
        <x:v>10</x:v>
      </x:c>
      <x:c r="H59" s="170"/>
      <x:c r="I59" s="170"/>
      <x:c r="J59" s="170"/>
      <x:c r="K59" s="170"/>
      <x:c r="L59" s="170" t="str">
        <x:v>Next: 40 kg × 11–12</x:v>
      </x:c>
      <x:c r="M59" s="170" t="str">
        <x:v>Not recorded</x:v>
      </x:c>
      <x:c r="N59" s="170" t="str">
        <x:v>Not recorded</x:v>
      </x:c>
    </x:row>
    <x:row r="60" ht="15" hidden="0" customHeight="1">
      <x:c r="A60" s="220" t="n">
        <x:v>46239</x:v>
      </x:c>
      <x:c r="B60" s="170" t="str">
        <x:v>Biceps</x:v>
      </x:c>
      <x:c r="C60" s="170" t="str">
        <x:v>Reverse EZ Bar Curl</x:v>
      </x:c>
      <x:c r="D60" s="170" t="n">
        <x:v>1</x:v>
      </x:c>
      <x:c r="E60" s="170" t="n">
        <x:v>5</x:v>
      </x:c>
      <x:c r="F60" s="170" t="str">
        <x:v>kg plates each side</x:v>
      </x:c>
      <x:c r="G60" s="170" t="n">
        <x:v>15</x:v>
      </x:c>
      <x:c r="H60" s="170"/>
      <x:c r="I60" s="170"/>
      <x:c r="J60" s="170"/>
      <x:c r="K60" s="170"/>
      <x:c r="L60" s="170"/>
      <x:c r="M60" s="170" t="str">
        <x:v>Not recorded</x:v>
      </x:c>
      <x:c r="N60" s="170" t="str">
        <x:v>Not recorded</x:v>
      </x:c>
    </x:row>
    <x:row r="61" ht="15" hidden="0" customHeight="1">
      <x:c r="A61" s="220" t="n">
        <x:v>46239</x:v>
      </x:c>
      <x:c r="B61" s="170" t="str">
        <x:v>Biceps</x:v>
      </x:c>
      <x:c r="C61" s="170" t="str">
        <x:v>Reverse EZ Bar Curl</x:v>
      </x:c>
      <x:c r="D61" s="170" t="n">
        <x:v>2</x:v>
      </x:c>
      <x:c r="E61" s="170" t="n">
        <x:v>7.5</x:v>
      </x:c>
      <x:c r="F61" s="170" t="str">
        <x:v>kg plates each side</x:v>
      </x:c>
      <x:c r="G61" s="170" t="n">
        <x:v>12</x:v>
      </x:c>
      <x:c r="H61" s="170"/>
      <x:c r="I61" s="170"/>
      <x:c r="J61" s="170"/>
      <x:c r="K61" s="170"/>
      <x:c r="L61" s="170"/>
      <x:c r="M61" s="170" t="str">
        <x:v>Not recorded</x:v>
      </x:c>
      <x:c r="N61" s="170" t="str">
        <x:v>Not recorded</x:v>
      </x:c>
    </x:row>
    <x:row r="62" ht="15" hidden="0" customHeight="1">
      <x:c r="A62" s="220" t="n">
        <x:v>46239</x:v>
      </x:c>
      <x:c r="B62" s="170" t="str">
        <x:v>Biceps</x:v>
      </x:c>
      <x:c r="C62" s="170" t="str">
        <x:v>Reverse EZ Bar Curl</x:v>
      </x:c>
      <x:c r="D62" s="170" t="n">
        <x:v>3</x:v>
      </x:c>
      <x:c r="E62" s="170" t="n">
        <x:v>10</x:v>
      </x:c>
      <x:c r="F62" s="170" t="str">
        <x:v>kg plates each side</x:v>
      </x:c>
      <x:c r="G62" s="170" t="n">
        <x:v>10</x:v>
      </x:c>
      <x:c r="H62" s="170"/>
      <x:c r="I62" s="170"/>
      <x:c r="J62" s="170"/>
      <x:c r="K62" s="170"/>
      <x:c r="L62" s="170" t="str">
        <x:v>Next: 10 kg/side × 11–12</x:v>
      </x:c>
      <x:c r="M62" s="170" t="str">
        <x:v>Not recorded</x:v>
      </x:c>
      <x:c r="N62" s="170" t="str">
        <x:v>Not recorded</x:v>
      </x:c>
    </x:row>
    <x:row r="63" ht="15" hidden="0" customHeight="1">
      <x:c r="A63" s="220" t="n">
        <x:v>46239</x:v>
      </x:c>
      <x:c r="B63" s="170" t="str">
        <x:v>Biceps</x:v>
      </x:c>
      <x:c r="C63" s="170" t="str">
        <x:v>Concentration Curl</x:v>
      </x:c>
      <x:c r="D63" s="170" t="n">
        <x:v>1</x:v>
      </x:c>
      <x:c r="E63" s="170" t="n">
        <x:v>5</x:v>
      </x:c>
      <x:c r="F63" s="170" t="str">
        <x:v>kg each dumbbell</x:v>
      </x:c>
      <x:c r="G63" s="170" t="n">
        <x:v>15</x:v>
      </x:c>
      <x:c r="H63" s="170"/>
      <x:c r="I63" s="170"/>
      <x:c r="J63" s="170"/>
      <x:c r="K63" s="170"/>
      <x:c r="L63" s="170"/>
      <x:c r="M63" s="170" t="str">
        <x:v>Not recorded</x:v>
      </x:c>
      <x:c r="N63" s="170" t="str">
        <x:v>Not recorded</x:v>
      </x:c>
    </x:row>
    <x:row r="64" ht="15" hidden="0" customHeight="1">
      <x:c r="A64" s="220" t="n">
        <x:v>46239</x:v>
      </x:c>
      <x:c r="B64" s="170" t="str">
        <x:v>Biceps</x:v>
      </x:c>
      <x:c r="C64" s="170" t="str">
        <x:v>Concentration Curl</x:v>
      </x:c>
      <x:c r="D64" s="170" t="n">
        <x:v>2</x:v>
      </x:c>
      <x:c r="E64" s="170" t="n">
        <x:v>7.5</x:v>
      </x:c>
      <x:c r="F64" s="170" t="str">
        <x:v>kg each dumbbell</x:v>
      </x:c>
      <x:c r="G64" s="170" t="n">
        <x:v>10</x:v>
      </x:c>
      <x:c r="H64" s="170"/>
      <x:c r="I64" s="170"/>
      <x:c r="J64" s="170"/>
      <x:c r="K64" s="170"/>
      <x:c r="L64" s="170"/>
      <x:c r="M64" s="170" t="str">
        <x:v>Not recorded</x:v>
      </x:c>
      <x:c r="N64" s="170" t="str">
        <x:v>Not recorded</x:v>
      </x:c>
    </x:row>
    <x:row r="65" ht="15" hidden="0" customHeight="1">
      <x:c r="A65" s="220" t="n">
        <x:v>46239</x:v>
      </x:c>
      <x:c r="B65" s="170" t="str">
        <x:v>Biceps</x:v>
      </x:c>
      <x:c r="C65" s="170" t="str">
        <x:v>Concentration Curl</x:v>
      </x:c>
      <x:c r="D65" s="170" t="n">
        <x:v>3</x:v>
      </x:c>
      <x:c r="E65" s="170" t="n">
        <x:v>10</x:v>
      </x:c>
      <x:c r="F65" s="170" t="str">
        <x:v>kg each dumbbell</x:v>
      </x:c>
      <x:c r="G65" s="170" t="n">
        <x:v>7</x:v>
      </x:c>
      <x:c r="H65" s="170"/>
      <x:c r="I65" s="170"/>
      <x:c r="J65" s="170"/>
      <x:c r="K65" s="170"/>
      <x:c r="L65" s="170" t="str">
        <x:v>Prioritize 7.5 kg × 11–12 clean</x:v>
      </x:c>
      <x:c r="M65" s="170" t="str">
        <x:v>Not recorded</x:v>
      </x:c>
      <x:c r="N65" s="170" t="str">
        <x:v>Not recorded</x:v>
      </x:c>
    </x:row>
    <x:row r="66" ht="15" hidden="0" customHeight="1">
      <x:c r="A66" s="220" t="n">
        <x:v>46240</x:v>
      </x:c>
      <x:c r="B66" s="170" t="str">
        <x:v>Legs</x:v>
      </x:c>
      <x:c r="C66" s="170" t="str">
        <x:v>Hack Squat</x:v>
      </x:c>
      <x:c r="D66" s="170" t="n">
        <x:v>1</x:v>
      </x:c>
      <x:c r="E66" s="170" t="n">
        <x:v>30</x:v>
      </x:c>
      <x:c r="F66" s="170" t="str">
        <x:v>kg plates each side</x:v>
      </x:c>
      <x:c r="G66" s="170" t="n">
        <x:v>15</x:v>
      </x:c>
      <x:c r="H66" s="170"/>
      <x:c r="I66" s="170"/>
      <x:c r="J66" s="170" t="str">
        <x:v>Medium</x:v>
      </x:c>
      <x:c r="K66" s="170" t="str">
        <x:v>Okay</x:v>
      </x:c>
      <x:c r="L66" s="170"/>
      <x:c r="M66" s="170" t="str">
        <x:v>Not recorded</x:v>
      </x:c>
      <x:c r="N66" s="170" t="str">
        <x:v>Not recorded</x:v>
      </x:c>
    </x:row>
    <x:row r="67" ht="15" hidden="0" customHeight="1">
      <x:c r="A67" s="220" t="n">
        <x:v>46240</x:v>
      </x:c>
      <x:c r="B67" s="170" t="str">
        <x:v>Legs</x:v>
      </x:c>
      <x:c r="C67" s="170" t="str">
        <x:v>Hack Squat</x:v>
      </x:c>
      <x:c r="D67" s="170" t="n">
        <x:v>2</x:v>
      </x:c>
      <x:c r="E67" s="170" t="n">
        <x:v>40</x:v>
      </x:c>
      <x:c r="F67" s="170" t="str">
        <x:v>kg plates each side</x:v>
      </x:c>
      <x:c r="G67" s="170" t="n">
        <x:v>12</x:v>
      </x:c>
      <x:c r="H67" s="170"/>
      <x:c r="I67" s="170"/>
      <x:c r="J67" s="170" t="str">
        <x:v>Medium</x:v>
      </x:c>
      <x:c r="K67" s="170" t="str">
        <x:v>Okay</x:v>
      </x:c>
      <x:c r="L67" s="170"/>
      <x:c r="M67" s="170" t="str">
        <x:v>Not recorded</x:v>
      </x:c>
      <x:c r="N67" s="170" t="str">
        <x:v>Not recorded</x:v>
      </x:c>
    </x:row>
    <x:row r="68" ht="15" hidden="0" customHeight="1">
      <x:c r="A68" s="220" t="n">
        <x:v>46240</x:v>
      </x:c>
      <x:c r="B68" s="170" t="str">
        <x:v>Legs</x:v>
      </x:c>
      <x:c r="C68" s="170" t="str">
        <x:v>Hack Squat</x:v>
      </x:c>
      <x:c r="D68" s="170" t="n">
        <x:v>3</x:v>
      </x:c>
      <x:c r="E68" s="170" t="n">
        <x:v>50</x:v>
      </x:c>
      <x:c r="F68" s="170" t="str">
        <x:v>kg plates each side</x:v>
      </x:c>
      <x:c r="G68" s="170" t="n">
        <x:v>10</x:v>
      </x:c>
      <x:c r="H68" s="170"/>
      <x:c r="I68" s="170"/>
      <x:c r="J68" s="170" t="str">
        <x:v>Medium</x:v>
      </x:c>
      <x:c r="K68" s="170" t="str">
        <x:v>Okay</x:v>
      </x:c>
      <x:c r="L68" s="170"/>
      <x:c r="M68" s="170" t="str">
        <x:v>Not recorded</x:v>
      </x:c>
      <x:c r="N68" s="170" t="str">
        <x:v>Not recorded</x:v>
      </x:c>
    </x:row>
    <x:row r="69" ht="15" hidden="0" customHeight="1">
      <x:c r="A69" s="220" t="n">
        <x:v>46240</x:v>
      </x:c>
      <x:c r="B69" s="170" t="str">
        <x:v>Legs</x:v>
      </x:c>
      <x:c r="C69" s="170" t="str">
        <x:v>Hack Squat</x:v>
      </x:c>
      <x:c r="D69" s="170" t="n">
        <x:v>4</x:v>
      </x:c>
      <x:c r="E69" s="170" t="n">
        <x:v>60</x:v>
      </x:c>
      <x:c r="F69" s="170" t="str">
        <x:v>kg plates each side</x:v>
      </x:c>
      <x:c r="G69" s="170" t="n">
        <x:v>9</x:v>
      </x:c>
      <x:c r="H69" s="170"/>
      <x:c r="I69" s="170"/>
      <x:c r="J69" s="170" t="str">
        <x:v>Medium</x:v>
      </x:c>
      <x:c r="K69" s="170" t="str">
        <x:v>Okay</x:v>
      </x:c>
      <x:c r="L69" s="170" t="str">
        <x:v>Next: 60 kg/side × 10 clean</x:v>
      </x:c>
      <x:c r="M69" s="170" t="str">
        <x:v>Not recorded</x:v>
      </x:c>
      <x:c r="N69" s="170" t="str">
        <x:v>Not recorded</x:v>
      </x:c>
    </x:row>
    <x:row r="70" ht="26.399999618530273" hidden="0" customHeight="1">
      <x:c r="A70" s="220" t="n">
        <x:v>46240</x:v>
      </x:c>
      <x:c r="B70" s="170" t="str">
        <x:v>Legs</x:v>
      </x:c>
      <x:c r="C70" s="170" t="str">
        <x:v>Leg Press</x:v>
      </x:c>
      <x:c r="D70" s="170" t="n">
        <x:v>1</x:v>
      </x:c>
      <x:c r="E70" s="170" t="n">
        <x:v>90</x:v>
      </x:c>
      <x:c r="F70" s="170" t="str">
        <x:v>kg total; 150 kg had slight elbow assistance</x:v>
      </x:c>
      <x:c r="G70" s="170" t="n">
        <x:v>15</x:v>
      </x:c>
      <x:c r="H70" s="170"/>
      <x:c r="I70" s="170"/>
      <x:c r="J70" s="170" t="str">
        <x:v>Medium</x:v>
      </x:c>
      <x:c r="K70" s="170" t="str">
        <x:v>Okay</x:v>
      </x:c>
      <x:c r="L70" s="170"/>
      <x:c r="M70" s="170" t="str">
        <x:v>Not recorded</x:v>
      </x:c>
      <x:c r="N70" s="170" t="str">
        <x:v>Not recorded</x:v>
      </x:c>
    </x:row>
    <x:row r="71" ht="26.399999618530273" hidden="0" customHeight="1">
      <x:c r="A71" s="220" t="n">
        <x:v>46240</x:v>
      </x:c>
      <x:c r="B71" s="170" t="str">
        <x:v>Legs</x:v>
      </x:c>
      <x:c r="C71" s="170" t="str">
        <x:v>Leg Press</x:v>
      </x:c>
      <x:c r="D71" s="170" t="n">
        <x:v>2</x:v>
      </x:c>
      <x:c r="E71" s="170" t="n">
        <x:v>110</x:v>
      </x:c>
      <x:c r="F71" s="170" t="str">
        <x:v>kg total; 150 kg had slight elbow assistance</x:v>
      </x:c>
      <x:c r="G71" s="170" t="n">
        <x:v>12</x:v>
      </x:c>
      <x:c r="H71" s="170"/>
      <x:c r="I71" s="170"/>
      <x:c r="J71" s="170" t="str">
        <x:v>Medium</x:v>
      </x:c>
      <x:c r="K71" s="170" t="str">
        <x:v>Okay</x:v>
      </x:c>
      <x:c r="L71" s="170"/>
      <x:c r="M71" s="170" t="str">
        <x:v>Not recorded</x:v>
      </x:c>
      <x:c r="N71" s="170" t="str">
        <x:v>Not recorded</x:v>
      </x:c>
    </x:row>
    <x:row r="72" ht="26.399999618530273" hidden="0" customHeight="1">
      <x:c r="A72" s="220" t="n">
        <x:v>46240</x:v>
      </x:c>
      <x:c r="B72" s="170" t="str">
        <x:v>Legs</x:v>
      </x:c>
      <x:c r="C72" s="170" t="str">
        <x:v>Leg Press</x:v>
      </x:c>
      <x:c r="D72" s="170" t="n">
        <x:v>3</x:v>
      </x:c>
      <x:c r="E72" s="170" t="n">
        <x:v>130</x:v>
      </x:c>
      <x:c r="F72" s="170" t="str">
        <x:v>kg total; 150 kg had slight elbow assistance</x:v>
      </x:c>
      <x:c r="G72" s="170" t="n">
        <x:v>10</x:v>
      </x:c>
      <x:c r="H72" s="170"/>
      <x:c r="I72" s="170"/>
      <x:c r="J72" s="170" t="str">
        <x:v>Medium</x:v>
      </x:c>
      <x:c r="K72" s="170" t="str">
        <x:v>Okay</x:v>
      </x:c>
      <x:c r="L72" s="170"/>
      <x:c r="M72" s="170" t="str">
        <x:v>Not recorded</x:v>
      </x:c>
      <x:c r="N72" s="170" t="str">
        <x:v>Not recorded</x:v>
      </x:c>
    </x:row>
    <x:row r="73" ht="26.399999618530273" hidden="0" customHeight="1">
      <x:c r="A73" s="220" t="n">
        <x:v>46240</x:v>
      </x:c>
      <x:c r="B73" s="170" t="str">
        <x:v>Legs</x:v>
      </x:c>
      <x:c r="C73" s="170" t="str">
        <x:v>Leg Press</x:v>
      </x:c>
      <x:c r="D73" s="170" t="n">
        <x:v>4</x:v>
      </x:c>
      <x:c r="E73" s="170" t="n">
        <x:v>150</x:v>
      </x:c>
      <x:c r="F73" s="170" t="str">
        <x:v>kg total; 150 kg had slight elbow assistance</x:v>
      </x:c>
      <x:c r="G73" s="170" t="n">
        <x:v>8</x:v>
      </x:c>
      <x:c r="H73" s="170"/>
      <x:c r="I73" s="170"/>
      <x:c r="J73" s="170" t="str">
        <x:v>Medium</x:v>
      </x:c>
      <x:c r="K73" s="170" t="str">
        <x:v>Okay</x:v>
      </x:c>
      <x:c r="L73" s="170" t="str">
        <x:v>Next: 150 kg × 9–10 unassisted</x:v>
      </x:c>
      <x:c r="M73" s="170" t="str">
        <x:v>Not recorded</x:v>
      </x:c>
      <x:c r="N73" s="170" t="str">
        <x:v>Not recorded</x:v>
      </x:c>
    </x:row>
    <x:row r="74" ht="15" hidden="0" customHeight="1">
      <x:c r="A74" s="220" t="n">
        <x:v>46240</x:v>
      </x:c>
      <x:c r="B74" s="170" t="str">
        <x:v>Legs</x:v>
      </x:c>
      <x:c r="C74" s="170" t="str">
        <x:v>Leg Extension</x:v>
      </x:c>
      <x:c r="D74" s="170" t="n">
        <x:v>1</x:v>
      </x:c>
      <x:c r="E74" s="170" t="n">
        <x:v>35</x:v>
      </x:c>
      <x:c r="F74" s="170" t="str">
        <x:v>kg total</x:v>
      </x:c>
      <x:c r="G74" s="170" t="n">
        <x:v>15</x:v>
      </x:c>
      <x:c r="H74" s="170"/>
      <x:c r="I74" s="170"/>
      <x:c r="J74" s="170" t="str">
        <x:v>Medium</x:v>
      </x:c>
      <x:c r="K74" s="170" t="str">
        <x:v>Okay</x:v>
      </x:c>
      <x:c r="L74" s="170"/>
      <x:c r="M74" s="170" t="str">
        <x:v>Not recorded</x:v>
      </x:c>
      <x:c r="N74" s="170" t="str">
        <x:v>Not recorded</x:v>
      </x:c>
    </x:row>
    <x:row r="75" ht="15" hidden="0" customHeight="1">
      <x:c r="A75" s="220" t="n">
        <x:v>46240</x:v>
      </x:c>
      <x:c r="B75" s="170" t="str">
        <x:v>Legs</x:v>
      </x:c>
      <x:c r="C75" s="170" t="str">
        <x:v>Leg Extension</x:v>
      </x:c>
      <x:c r="D75" s="170" t="n">
        <x:v>2</x:v>
      </x:c>
      <x:c r="E75" s="170" t="n">
        <x:v>40</x:v>
      </x:c>
      <x:c r="F75" s="170" t="str">
        <x:v>kg total</x:v>
      </x:c>
      <x:c r="G75" s="170" t="n">
        <x:v>12</x:v>
      </x:c>
      <x:c r="H75" s="170"/>
      <x:c r="I75" s="170"/>
      <x:c r="J75" s="170" t="str">
        <x:v>Medium</x:v>
      </x:c>
      <x:c r="K75" s="170" t="str">
        <x:v>Okay</x:v>
      </x:c>
      <x:c r="L75" s="170"/>
      <x:c r="M75" s="170" t="str">
        <x:v>Not recorded</x:v>
      </x:c>
      <x:c r="N75" s="170" t="str">
        <x:v>Not recorded</x:v>
      </x:c>
    </x:row>
    <x:row r="76" ht="15" hidden="0" customHeight="1">
      <x:c r="A76" s="220" t="n">
        <x:v>46240</x:v>
      </x:c>
      <x:c r="B76" s="170" t="str">
        <x:v>Legs</x:v>
      </x:c>
      <x:c r="C76" s="170" t="str">
        <x:v>Leg Extension</x:v>
      </x:c>
      <x:c r="D76" s="170" t="n">
        <x:v>3</x:v>
      </x:c>
      <x:c r="E76" s="170" t="n">
        <x:v>45</x:v>
      </x:c>
      <x:c r="F76" s="170" t="str">
        <x:v>kg total</x:v>
      </x:c>
      <x:c r="G76" s="170" t="n">
        <x:v>10</x:v>
      </x:c>
      <x:c r="H76" s="170"/>
      <x:c r="I76" s="170"/>
      <x:c r="J76" s="170" t="str">
        <x:v>Medium</x:v>
      </x:c>
      <x:c r="K76" s="170" t="str">
        <x:v>Okay</x:v>
      </x:c>
      <x:c r="L76" s="170"/>
      <x:c r="M76" s="170" t="str">
        <x:v>Not recorded</x:v>
      </x:c>
      <x:c r="N76" s="170" t="str">
        <x:v>Not recorded</x:v>
      </x:c>
    </x:row>
    <x:row r="77" ht="15" hidden="0" customHeight="1">
      <x:c r="A77" s="220" t="n">
        <x:v>46240</x:v>
      </x:c>
      <x:c r="B77" s="170" t="str">
        <x:v>Legs</x:v>
      </x:c>
      <x:c r="C77" s="170" t="str">
        <x:v>Leg Extension</x:v>
      </x:c>
      <x:c r="D77" s="170" t="n">
        <x:v>4</x:v>
      </x:c>
      <x:c r="E77" s="170" t="n">
        <x:v>50</x:v>
      </x:c>
      <x:c r="F77" s="170" t="str">
        <x:v>kg total</x:v>
      </x:c>
      <x:c r="G77" s="170" t="n">
        <x:v>8</x:v>
      </x:c>
      <x:c r="H77" s="170"/>
      <x:c r="I77" s="170"/>
      <x:c r="J77" s="170" t="str">
        <x:v>Medium</x:v>
      </x:c>
      <x:c r="K77" s="170" t="str">
        <x:v>Okay</x:v>
      </x:c>
      <x:c r="L77" s="170" t="str">
        <x:v>Next: 50 kg × 9–10</x:v>
      </x:c>
      <x:c r="M77" s="170" t="str">
        <x:v>Not recorded</x:v>
      </x:c>
      <x:c r="N77" s="170" t="str">
        <x:v>Not recorded</x:v>
      </x:c>
    </x:row>
    <x:row r="78" ht="15" hidden="0" customHeight="1">
      <x:c r="A78" s="220" t="n">
        <x:v>46240</x:v>
      </x:c>
      <x:c r="B78" s="170" t="str">
        <x:v>Legs</x:v>
      </x:c>
      <x:c r="C78" s="170" t="str">
        <x:v>Leg Curl</x:v>
      </x:c>
      <x:c r="D78" s="170" t="n">
        <x:v>1</x:v>
      </x:c>
      <x:c r="E78" s="170" t="n">
        <x:v>30</x:v>
      </x:c>
      <x:c r="F78" s="170" t="str">
        <x:v>kg; last 30 kg was drop set</x:v>
      </x:c>
      <x:c r="G78" s="170" t="n">
        <x:v>15</x:v>
      </x:c>
      <x:c r="H78" s="170"/>
      <x:c r="I78" s="170"/>
      <x:c r="J78" s="170" t="str">
        <x:v>Medium</x:v>
      </x:c>
      <x:c r="K78" s="170" t="str">
        <x:v>Okay</x:v>
      </x:c>
      <x:c r="L78" s="170"/>
      <x:c r="M78" s="170" t="str">
        <x:v>Not recorded</x:v>
      </x:c>
      <x:c r="N78" s="170" t="str">
        <x:v>Not recorded</x:v>
      </x:c>
    </x:row>
    <x:row r="79" ht="15" hidden="0" customHeight="1">
      <x:c r="A79" s="220" t="n">
        <x:v>46240</x:v>
      </x:c>
      <x:c r="B79" s="170" t="str">
        <x:v>Legs</x:v>
      </x:c>
      <x:c r="C79" s="170" t="str">
        <x:v>Leg Curl</x:v>
      </x:c>
      <x:c r="D79" s="170" t="n">
        <x:v>2</x:v>
      </x:c>
      <x:c r="E79" s="170" t="n">
        <x:v>35</x:v>
      </x:c>
      <x:c r="F79" s="170" t="str">
        <x:v>kg; last 30 kg was drop set</x:v>
      </x:c>
      <x:c r="G79" s="170" t="n">
        <x:v>10</x:v>
      </x:c>
      <x:c r="H79" s="170"/>
      <x:c r="I79" s="170"/>
      <x:c r="J79" s="170" t="str">
        <x:v>Medium</x:v>
      </x:c>
      <x:c r="K79" s="170" t="str">
        <x:v>Okay</x:v>
      </x:c>
      <x:c r="L79" s="170"/>
      <x:c r="M79" s="170" t="str">
        <x:v>Not recorded</x:v>
      </x:c>
      <x:c r="N79" s="170" t="str">
        <x:v>Not recorded</x:v>
      </x:c>
    </x:row>
    <x:row r="80" ht="15" hidden="0" customHeight="1">
      <x:c r="A80" s="220" t="n">
        <x:v>46240</x:v>
      </x:c>
      <x:c r="B80" s="170" t="str">
        <x:v>Legs</x:v>
      </x:c>
      <x:c r="C80" s="170" t="str">
        <x:v>Leg Curl</x:v>
      </x:c>
      <x:c r="D80" s="170" t="n">
        <x:v>3</x:v>
      </x:c>
      <x:c r="E80" s="170" t="n">
        <x:v>40</x:v>
      </x:c>
      <x:c r="F80" s="170" t="str">
        <x:v>kg; last 30 kg was drop set</x:v>
      </x:c>
      <x:c r="G80" s="170" t="n">
        <x:v>4</x:v>
      </x:c>
      <x:c r="H80" s="170"/>
      <x:c r="I80" s="170"/>
      <x:c r="J80" s="170" t="str">
        <x:v>Medium</x:v>
      </x:c>
      <x:c r="K80" s="170" t="str">
        <x:v>Okay</x:v>
      </x:c>
      <x:c r="L80" s="170"/>
      <x:c r="M80" s="170" t="str">
        <x:v>Not recorded</x:v>
      </x:c>
      <x:c r="N80" s="170" t="str">
        <x:v>Not recorded</x:v>
      </x:c>
    </x:row>
    <x:row r="81" ht="15" hidden="0" customHeight="1">
      <x:c r="A81" s="220" t="n">
        <x:v>46240</x:v>
      </x:c>
      <x:c r="B81" s="170" t="str">
        <x:v>Legs</x:v>
      </x:c>
      <x:c r="C81" s="170" t="str">
        <x:v>Leg Curl</x:v>
      </x:c>
      <x:c r="D81" s="170" t="n">
        <x:v>4</x:v>
      </x:c>
      <x:c r="E81" s="170" t="n">
        <x:v>30</x:v>
      </x:c>
      <x:c r="F81" s="170" t="str">
        <x:v>kg; last 30 kg was drop set</x:v>
      </x:c>
      <x:c r="G81" s="170" t="n">
        <x:v>4</x:v>
      </x:c>
      <x:c r="H81" s="170"/>
      <x:c r="I81" s="170"/>
      <x:c r="J81" s="170" t="str">
        <x:v>Medium</x:v>
      </x:c>
      <x:c r="K81" s="170" t="str">
        <x:v>Okay</x:v>
      </x:c>
      <x:c r="L81" s="170" t="str">
        <x:v>40 kg too heavy; next 35 kg × 12</x:v>
      </x:c>
      <x:c r="M81" s="170" t="str">
        <x:v>Not recorded</x:v>
      </x:c>
      <x:c r="N81" s="170" t="str">
        <x:v>Not recorded</x:v>
      </x:c>
    </x:row>
    <x:row r="82" ht="15" hidden="0" customHeight="1">
      <x:c r="A82" s="220" t="n">
        <x:v>46240</x:v>
      </x:c>
      <x:c r="B82" s="170" t="str">
        <x:v>Legs</x:v>
      </x:c>
      <x:c r="C82" s="170" t="str">
        <x:v>Abductor Machine</x:v>
      </x:c>
      <x:c r="D82" s="170" t="n">
        <x:v>1</x:v>
      </x:c>
      <x:c r="E82" s="170" t="n">
        <x:v>40</x:v>
      </x:c>
      <x:c r="F82" s="170" t="str">
        <x:v>kg</x:v>
      </x:c>
      <x:c r="G82" s="170" t="n">
        <x:v>15</x:v>
      </x:c>
      <x:c r="H82" s="170"/>
      <x:c r="I82" s="170"/>
      <x:c r="J82" s="170" t="str">
        <x:v>Medium</x:v>
      </x:c>
      <x:c r="K82" s="170" t="str">
        <x:v>Okay</x:v>
      </x:c>
      <x:c r="L82" s="170"/>
      <x:c r="M82" s="170" t="str">
        <x:v>Not recorded</x:v>
      </x:c>
      <x:c r="N82" s="170" t="str">
        <x:v>Not recorded</x:v>
      </x:c>
    </x:row>
    <x:row r="83" ht="15" hidden="0" customHeight="1">
      <x:c r="A83" s="220" t="n">
        <x:v>46240</x:v>
      </x:c>
      <x:c r="B83" s="170" t="str">
        <x:v>Legs</x:v>
      </x:c>
      <x:c r="C83" s="170" t="str">
        <x:v>Abductor Machine</x:v>
      </x:c>
      <x:c r="D83" s="170" t="n">
        <x:v>2</x:v>
      </x:c>
      <x:c r="E83" s="170" t="n">
        <x:v>50</x:v>
      </x:c>
      <x:c r="F83" s="170" t="str">
        <x:v>kg</x:v>
      </x:c>
      <x:c r="G83" s="170" t="n">
        <x:v>12</x:v>
      </x:c>
      <x:c r="H83" s="170"/>
      <x:c r="I83" s="170"/>
      <x:c r="J83" s="170" t="str">
        <x:v>Medium</x:v>
      </x:c>
      <x:c r="K83" s="170" t="str">
        <x:v>Okay</x:v>
      </x:c>
      <x:c r="L83" s="170"/>
      <x:c r="M83" s="170" t="str">
        <x:v>Not recorded</x:v>
      </x:c>
      <x:c r="N83" s="170" t="str">
        <x:v>Not recorded</x:v>
      </x:c>
    </x:row>
    <x:row r="84" ht="15" hidden="0" customHeight="1">
      <x:c r="A84" s="220" t="n">
        <x:v>46240</x:v>
      </x:c>
      <x:c r="B84" s="170" t="str">
        <x:v>Legs</x:v>
      </x:c>
      <x:c r="C84" s="170" t="str">
        <x:v>Abductor Machine</x:v>
      </x:c>
      <x:c r="D84" s="170" t="n">
        <x:v>3</x:v>
      </x:c>
      <x:c r="E84" s="170" t="n">
        <x:v>60</x:v>
      </x:c>
      <x:c r="F84" s="170" t="str">
        <x:v>kg</x:v>
      </x:c>
      <x:c r="G84" s="170" t="n">
        <x:v>10</x:v>
      </x:c>
      <x:c r="H84" s="170"/>
      <x:c r="I84" s="170"/>
      <x:c r="J84" s="170" t="str">
        <x:v>Medium</x:v>
      </x:c>
      <x:c r="K84" s="170" t="str">
        <x:v>Okay</x:v>
      </x:c>
      <x:c r="L84" s="170" t="str">
        <x:v>Next: 60 kg × 11–12</x:v>
      </x:c>
      <x:c r="M84" s="170" t="str">
        <x:v>Not recorded</x:v>
      </x:c>
      <x:c r="N84" s="170" t="str">
        <x:v>Not recorded</x:v>
      </x:c>
    </x:row>
    <x:row r="85" ht="15" hidden="0" customHeight="1">
      <x:c r="A85" s="220" t="n">
        <x:v>46240</x:v>
      </x:c>
      <x:c r="B85" s="170" t="str">
        <x:v>Legs</x:v>
      </x:c>
      <x:c r="C85" s="170" t="str">
        <x:v>Adductor Machine</x:v>
      </x:c>
      <x:c r="D85" s="170" t="n">
        <x:v>1</x:v>
      </x:c>
      <x:c r="E85" s="170" t="n">
        <x:v>40</x:v>
      </x:c>
      <x:c r="F85" s="170" t="str">
        <x:v>kg</x:v>
      </x:c>
      <x:c r="G85" s="170" t="n">
        <x:v>12</x:v>
      </x:c>
      <x:c r="H85" s="170"/>
      <x:c r="I85" s="170"/>
      <x:c r="J85" s="170" t="str">
        <x:v>Medium</x:v>
      </x:c>
      <x:c r="K85" s="170" t="str">
        <x:v>Okay</x:v>
      </x:c>
      <x:c r="L85" s="170"/>
      <x:c r="M85" s="170" t="str">
        <x:v>Not recorded</x:v>
      </x:c>
      <x:c r="N85" s="170" t="str">
        <x:v>Not recorded</x:v>
      </x:c>
    </x:row>
    <x:row r="86" ht="15" hidden="0" customHeight="1">
      <x:c r="A86" s="220" t="n">
        <x:v>46240</x:v>
      </x:c>
      <x:c r="B86" s="170" t="str">
        <x:v>Legs</x:v>
      </x:c>
      <x:c r="C86" s="170" t="str">
        <x:v>Adductor Machine</x:v>
      </x:c>
      <x:c r="D86" s="170" t="n">
        <x:v>2</x:v>
      </x:c>
      <x:c r="E86" s="170" t="n">
        <x:v>50</x:v>
      </x:c>
      <x:c r="F86" s="170" t="str">
        <x:v>kg</x:v>
      </x:c>
      <x:c r="G86" s="170" t="n">
        <x:v>8</x:v>
      </x:c>
      <x:c r="H86" s="170"/>
      <x:c r="I86" s="170"/>
      <x:c r="J86" s="170" t="str">
        <x:v>Medium</x:v>
      </x:c>
      <x:c r="K86" s="170" t="str">
        <x:v>Okay</x:v>
      </x:c>
      <x:c r="L86" s="170" t="str">
        <x:v>Build 40–45 kg to 10–12 clean reps</x:v>
      </x:c>
      <x:c r="M86" s="170" t="str">
        <x:v>Not recorded</x:v>
      </x:c>
      <x:c r="N86" s="170" t="str">
        <x:v>Not recorded</x:v>
      </x:c>
    </x:row>
    <x:row r="87" ht="15" hidden="0" customHeight="1">
      <x:c r="A87" s="220" t="n">
        <x:v>46240</x:v>
      </x:c>
      <x:c r="B87" s="170" t="str">
        <x:v>Legs</x:v>
      </x:c>
      <x:c r="C87" s="170" t="str">
        <x:v>Standing Calf Raise</x:v>
      </x:c>
      <x:c r="D87" s="170" t="n">
        <x:v>1</x:v>
      </x:c>
      <x:c r="E87" s="170" t="n">
        <x:v>0</x:v>
      </x:c>
      <x:c r="F87" s="170" t="str">
        <x:v>guided bar; added kg each side</x:v>
      </x:c>
      <x:c r="G87" s="170" t="n">
        <x:v>20</x:v>
      </x:c>
      <x:c r="H87" s="170"/>
      <x:c r="I87" s="170"/>
      <x:c r="J87" s="170" t="str">
        <x:v>Medium</x:v>
      </x:c>
      <x:c r="K87" s="170" t="str">
        <x:v>Okay</x:v>
      </x:c>
      <x:c r="L87" s="170"/>
      <x:c r="M87" s="170" t="str">
        <x:v>Not recorded</x:v>
      </x:c>
      <x:c r="N87" s="170" t="str">
        <x:v>Not recorded</x:v>
      </x:c>
    </x:row>
    <x:row r="88" ht="15" hidden="0" customHeight="1">
      <x:c r="A88" s="220" t="n">
        <x:v>46240</x:v>
      </x:c>
      <x:c r="B88" s="170" t="str">
        <x:v>Legs</x:v>
      </x:c>
      <x:c r="C88" s="170" t="str">
        <x:v>Standing Calf Raise</x:v>
      </x:c>
      <x:c r="D88" s="170" t="n">
        <x:v>2</x:v>
      </x:c>
      <x:c r="E88" s="170" t="n">
        <x:v>10</x:v>
      </x:c>
      <x:c r="F88" s="170" t="str">
        <x:v>guided bar; added kg each side</x:v>
      </x:c>
      <x:c r="G88" s="170" t="n">
        <x:v>18</x:v>
      </x:c>
      <x:c r="H88" s="170"/>
      <x:c r="I88" s="170"/>
      <x:c r="J88" s="170" t="str">
        <x:v>Medium</x:v>
      </x:c>
      <x:c r="K88" s="170" t="str">
        <x:v>Okay</x:v>
      </x:c>
      <x:c r="L88" s="170"/>
      <x:c r="M88" s="170" t="str">
        <x:v>Not recorded</x:v>
      </x:c>
      <x:c r="N88" s="170" t="str">
        <x:v>Not recorded</x:v>
      </x:c>
    </x:row>
    <x:row r="89" ht="15" hidden="0" customHeight="1">
      <x:c r="A89" s="220" t="n">
        <x:v>46240</x:v>
      </x:c>
      <x:c r="B89" s="170" t="str">
        <x:v>Legs</x:v>
      </x:c>
      <x:c r="C89" s="170" t="str">
        <x:v>Standing Calf Raise</x:v>
      </x:c>
      <x:c r="D89" s="170" t="n">
        <x:v>3</x:v>
      </x:c>
      <x:c r="E89" s="170" t="n">
        <x:v>20</x:v>
      </x:c>
      <x:c r="F89" s="170" t="str">
        <x:v>guided bar; added kg each side</x:v>
      </x:c>
      <x:c r="G89" s="170" t="n">
        <x:v>14</x:v>
      </x:c>
      <x:c r="H89" s="170"/>
      <x:c r="I89" s="170"/>
      <x:c r="J89" s="170" t="str">
        <x:v>Medium</x:v>
      </x:c>
      <x:c r="K89" s="170" t="str">
        <x:v>Okay</x:v>
      </x:c>
      <x:c r="L89" s="170" t="str">
        <x:v>Next: bar +20 kg/side × 15–16 clean</x:v>
      </x:c>
      <x:c r="M89" s="170" t="str">
        <x:v>Not recorded</x:v>
      </x:c>
      <x:c r="N89" s="170" t="str">
        <x:v>Not recorded</x:v>
      </x:c>
    </x:row>
    <x:row r="90" ht="39.599998474121094" hidden="0" customHeight="1">
      <x:c r="A90" s="220" t="n">
        <x:v>46241</x:v>
      </x:c>
      <x:c r="B90" s="170" t="str">
        <x:v>Shoulders</x:v>
      </x:c>
      <x:c r="C90" s="170" t="str">
        <x:v>Dumbbell Shoulder Press</x:v>
      </x:c>
      <x:c r="D90" s="170" t="n">
        <x:v>1</x:v>
      </x:c>
      <x:c r="E90" s="170" t="n">
        <x:v>15</x:v>
      </x:c>
      <x:c r="F90" s="170" t="str">
        <x:v>kg each dumbbell</x:v>
      </x:c>
      <x:c r="G90" s="170" t="n">
        <x:v>4</x:v>
      </x:c>
      <x:c r="H90" s="170" t="str">
        <x:v>User uses this as warm-up; no assisted repetitions</x:v>
      </x:c>
      <x:c r="I90" s="170" t="str">
        <x:v>No pain reported before, during, or after workout</x:v>
      </x:c>
      <x:c r="J90" s="170" t="str">
        <x:v>Medium pre; Low-Medium post</x:v>
      </x:c>
      <x:c r="K90" s="170" t="str">
        <x:v>Okay</x:v>
      </x:c>
      <x:c r="L90" s="170" t="str">
        <x:v>Use 10-12.5 kg x 10-12, then 15 kg x 6-8 as a more efficient warm-up next time</x:v>
      </x:c>
      <x:c r="M90" s="170" t="str">
        <x:v>Warm-up</x:v>
      </x:c>
      <x:c r="N90" s="170" t="str">
        <x:v>Not recorded</x:v>
      </x:c>
    </x:row>
    <x:row r="91" ht="39.599998474121094" hidden="0" customHeight="1">
      <x:c r="A91" s="220" t="n">
        <x:v>46241</x:v>
      </x:c>
      <x:c r="B91" s="170" t="str">
        <x:v>Shoulders</x:v>
      </x:c>
      <x:c r="C91" s="170" t="str">
        <x:v>Dumbbell Shoulder Press</x:v>
      </x:c>
      <x:c r="D91" s="170" t="n">
        <x:v>2</x:v>
      </x:c>
      <x:c r="E91" s="170" t="n">
        <x:v>17.5</x:v>
      </x:c>
      <x:c r="F91" s="170" t="str">
        <x:v>kg each dumbbell</x:v>
      </x:c>
      <x:c r="G91" s="170" t="n">
        <x:v>12</x:v>
      </x:c>
      <x:c r="H91" s="170" t="str">
        <x:v>No assisted repetitions; detailed form not recorded</x:v>
      </x:c>
      <x:c r="I91" s="170" t="str">
        <x:v>No pain reported before, during, or after workout</x:v>
      </x:c>
      <x:c r="J91" s="170" t="str">
        <x:v>Medium pre; Low-Medium post</x:v>
      </x:c>
      <x:c r="K91" s="170" t="str">
        <x:v>Okay</x:v>
      </x:c>
      <x:c r="L91" s="170"/>
      <x:c r="M91" s="170" t="str">
        <x:v>Working</x:v>
      </x:c>
      <x:c r="N91" s="170" t="str">
        <x:v>Not recorded</x:v>
      </x:c>
    </x:row>
    <x:row r="92" ht="39.599998474121094" hidden="0" customHeight="1">
      <x:c r="A92" s="220" t="n">
        <x:v>46241</x:v>
      </x:c>
      <x:c r="B92" s="170" t="str">
        <x:v>Shoulders</x:v>
      </x:c>
      <x:c r="C92" s="170" t="str">
        <x:v>Dumbbell Shoulder Press</x:v>
      </x:c>
      <x:c r="D92" s="170" t="n">
        <x:v>3</x:v>
      </x:c>
      <x:c r="E92" s="170" t="n">
        <x:v>20</x:v>
      </x:c>
      <x:c r="F92" s="170" t="str">
        <x:v>kg each dumbbell</x:v>
      </x:c>
      <x:c r="G92" s="170" t="n">
        <x:v>10</x:v>
      </x:c>
      <x:c r="H92" s="170" t="str">
        <x:v>No assisted repetitions; detailed form not recorded</x:v>
      </x:c>
      <x:c r="I92" s="170" t="str">
        <x:v>No pain reported before, during, or after workout</x:v>
      </x:c>
      <x:c r="J92" s="170" t="str">
        <x:v>Medium pre; Low-Medium post</x:v>
      </x:c>
      <x:c r="K92" s="170" t="str">
        <x:v>Okay</x:v>
      </x:c>
      <x:c r="L92" s="170"/>
      <x:c r="M92" s="170" t="str">
        <x:v>Working</x:v>
      </x:c>
      <x:c r="N92" s="170" t="str">
        <x:v>Not recorded</x:v>
      </x:c>
    </x:row>
    <x:row r="93" ht="39.599998474121094" hidden="0" customHeight="1">
      <x:c r="A93" s="220" t="n">
        <x:v>46241</x:v>
      </x:c>
      <x:c r="B93" s="170" t="str">
        <x:v>Shoulders</x:v>
      </x:c>
      <x:c r="C93" s="170" t="str">
        <x:v>Dumbbell Shoulder Press</x:v>
      </x:c>
      <x:c r="D93" s="170" t="n">
        <x:v>4</x:v>
      </x:c>
      <x:c r="E93" s="170" t="n">
        <x:v>22.5</x:v>
      </x:c>
      <x:c r="F93" s="170" t="str">
        <x:v>kg each dumbbell</x:v>
      </x:c>
      <x:c r="G93" s="170" t="n">
        <x:v>8</x:v>
      </x:c>
      <x:c r="H93" s="170" t="str">
        <x:v>No assisted repetitions; detailed form not recorded</x:v>
      </x:c>
      <x:c r="I93" s="170" t="str">
        <x:v>No pain reported before, during, or after workout</x:v>
      </x:c>
      <x:c r="J93" s="170" t="str">
        <x:v>Medium pre; Low-Medium post</x:v>
      </x:c>
      <x:c r="K93" s="170" t="str">
        <x:v>Okay</x:v>
      </x:c>
      <x:c r="L93" s="170" t="str">
        <x:v>RIR 0 baseline; next target 22.5 kg x 7-8 at RIR 1, with no heavier set</x:v>
      </x:c>
      <x:c r="M93" s="170" t="str">
        <x:v>Working</x:v>
      </x:c>
      <x:c r="N93" s="170" t="str">
        <x:v>0</x:v>
      </x:c>
    </x:row>
    <x:row r="94" ht="39.599998474121094" hidden="0" customHeight="1">
      <x:c r="A94" s="220" t="n">
        <x:v>46241</x:v>
      </x:c>
      <x:c r="B94" s="170" t="str">
        <x:v>Shoulders</x:v>
      </x:c>
      <x:c r="C94" s="170" t="str">
        <x:v>Dumbbell Lateral Raise</x:v>
      </x:c>
      <x:c r="D94" s="170" t="n">
        <x:v>1</x:v>
      </x:c>
      <x:c r="E94" s="170" t="n">
        <x:v>7.5</x:v>
      </x:c>
      <x:c r="F94" s="170" t="str">
        <x:v>kg each dumbbell</x:v>
      </x:c>
      <x:c r="G94" s="170" t="n">
        <x:v>15</x:v>
      </x:c>
      <x:c r="H94" s="170" t="str">
        <x:v>No assisted repetitions; detailed form not recorded</x:v>
      </x:c>
      <x:c r="I94" s="170" t="str">
        <x:v>No pain reported before, during, or after workout</x:v>
      </x:c>
      <x:c r="J94" s="170" t="str">
        <x:v>Medium pre; Low-Medium post</x:v>
      </x:c>
      <x:c r="K94" s="170" t="str">
        <x:v>Okay</x:v>
      </x:c>
      <x:c r="L94" s="170"/>
      <x:c r="M94" s="170" t="str">
        <x:v>Working</x:v>
      </x:c>
      <x:c r="N94" s="170" t="str">
        <x:v>0</x:v>
      </x:c>
    </x:row>
    <x:row r="95" ht="39.599998474121094" hidden="0" customHeight="1">
      <x:c r="A95" s="220" t="n">
        <x:v>46241</x:v>
      </x:c>
      <x:c r="B95" s="170" t="str">
        <x:v>Shoulders</x:v>
      </x:c>
      <x:c r="C95" s="170" t="str">
        <x:v>Dumbbell Lateral Raise</x:v>
      </x:c>
      <x:c r="D95" s="170" t="n">
        <x:v>2</x:v>
      </x:c>
      <x:c r="E95" s="170" t="n">
        <x:v>10</x:v>
      </x:c>
      <x:c r="F95" s="170" t="str">
        <x:v>kg each dumbbell</x:v>
      </x:c>
      <x:c r="G95" s="170" t="n">
        <x:v>12</x:v>
      </x:c>
      <x:c r="H95" s="170" t="str">
        <x:v>No assisted repetitions; detailed form not recorded</x:v>
      </x:c>
      <x:c r="I95" s="170" t="str">
        <x:v>No pain reported before, during, or after workout</x:v>
      </x:c>
      <x:c r="J95" s="170" t="str">
        <x:v>Medium pre; Low-Medium post</x:v>
      </x:c>
      <x:c r="K95" s="170" t="str">
        <x:v>Okay</x:v>
      </x:c>
      <x:c r="L95" s="170"/>
      <x:c r="M95" s="170" t="str">
        <x:v>Working</x:v>
      </x:c>
      <x:c r="N95" s="170" t="str">
        <x:v>0</x:v>
      </x:c>
    </x:row>
    <x:row r="96" ht="39.599998474121094" hidden="0" customHeight="1">
      <x:c r="A96" s="220" t="n">
        <x:v>46241</x:v>
      </x:c>
      <x:c r="B96" s="170" t="str">
        <x:v>Shoulders</x:v>
      </x:c>
      <x:c r="C96" s="170" t="str">
        <x:v>Dumbbell Lateral Raise</x:v>
      </x:c>
      <x:c r="D96" s="170" t="n">
        <x:v>3</x:v>
      </x:c>
      <x:c r="E96" s="170" t="n">
        <x:v>10</x:v>
      </x:c>
      <x:c r="F96" s="170" t="str">
        <x:v>kg each dumbbell</x:v>
      </x:c>
      <x:c r="G96" s="170" t="n">
        <x:v>12</x:v>
      </x:c>
      <x:c r="H96" s="170" t="str">
        <x:v>No assisted repetitions; detailed form not recorded</x:v>
      </x:c>
      <x:c r="I96" s="170" t="str">
        <x:v>No pain reported before, during, or after workout</x:v>
      </x:c>
      <x:c r="J96" s="170" t="str">
        <x:v>Medium pre; Low-Medium post</x:v>
      </x:c>
      <x:c r="K96" s="170" t="str">
        <x:v>Okay</x:v>
      </x:c>
      <x:c r="L96" s="170"/>
      <x:c r="M96" s="170" t="str">
        <x:v>Working</x:v>
      </x:c>
      <x:c r="N96" s="170" t="str">
        <x:v>0</x:v>
      </x:c>
    </x:row>
    <x:row r="97" ht="39.599998474121094" hidden="0" customHeight="1">
      <x:c r="A97" s="220" t="n">
        <x:v>46241</x:v>
      </x:c>
      <x:c r="B97" s="170" t="str">
        <x:v>Shoulders</x:v>
      </x:c>
      <x:c r="C97" s="170" t="str">
        <x:v>Dumbbell Lateral Raise</x:v>
      </x:c>
      <x:c r="D97" s="170" t="n">
        <x:v>4</x:v>
      </x:c>
      <x:c r="E97" s="170" t="n">
        <x:v>12.5</x:v>
      </x:c>
      <x:c r="F97" s="170" t="str">
        <x:v>kg each dumbbell</x:v>
      </x:c>
      <x:c r="G97" s="170" t="n">
        <x:v>8</x:v>
      </x:c>
      <x:c r="H97" s="170" t="str">
        <x:v>No assisted repetitions; detailed form not recorded</x:v>
      </x:c>
      <x:c r="I97" s="170" t="str">
        <x:v>No pain reported before, during, or after workout</x:v>
      </x:c>
      <x:c r="J97" s="170" t="str">
        <x:v>Medium pre; Low-Medium post</x:v>
      </x:c>
      <x:c r="K97" s="170" t="str">
        <x:v>Okay</x:v>
      </x:c>
      <x:c r="L97" s="170" t="str">
        <x:v>All four sets reached RIR 0; next target 7.5 kg for 3 x 12-15 at RIR 2 with strict tempo</x:v>
      </x:c>
      <x:c r="M97" s="170" t="str">
        <x:v>Working</x:v>
      </x:c>
      <x:c r="N97" s="170" t="str">
        <x:v>0</x:v>
      </x:c>
    </x:row>
    <x:row r="98" ht="39.599998474121094" hidden="0" customHeight="1">
      <x:c r="A98" s="220" t="n">
        <x:v>46241</x:v>
      </x:c>
      <x:c r="B98" s="170" t="str">
        <x:v>Shoulders</x:v>
      </x:c>
      <x:c r="C98" s="170" t="str">
        <x:v>Face Pull</x:v>
      </x:c>
      <x:c r="D98" s="170" t="n">
        <x:v>1</x:v>
      </x:c>
      <x:c r="E98" s="170" t="n">
        <x:v>30</x:v>
      </x:c>
      <x:c r="F98" s="170" t="str">
        <x:v>kg total cable stack</x:v>
      </x:c>
      <x:c r="G98" s="170" t="n">
        <x:v>15</x:v>
      </x:c>
      <x:c r="H98" s="170" t="str">
        <x:v>No assisted repetitions; detailed form not recorded</x:v>
      </x:c>
      <x:c r="I98" s="170" t="str">
        <x:v>No pain reported before, during, or after workout</x:v>
      </x:c>
      <x:c r="J98" s="170" t="str">
        <x:v>Medium pre; Low-Medium post</x:v>
      </x:c>
      <x:c r="K98" s="170" t="str">
        <x:v>Okay</x:v>
      </x:c>
      <x:c r="L98" s="170"/>
      <x:c r="M98" s="170" t="str">
        <x:v>Working</x:v>
      </x:c>
      <x:c r="N98" s="170" t="str">
        <x:v>2</x:v>
      </x:c>
    </x:row>
    <x:row r="99" ht="39.599998474121094" hidden="0" customHeight="1">
      <x:c r="A99" s="220" t="n">
        <x:v>46241</x:v>
      </x:c>
      <x:c r="B99" s="170" t="str">
        <x:v>Shoulders</x:v>
      </x:c>
      <x:c r="C99" s="170" t="str">
        <x:v>Face Pull</x:v>
      </x:c>
      <x:c r="D99" s="170" t="n">
        <x:v>2</x:v>
      </x:c>
      <x:c r="E99" s="170" t="n">
        <x:v>40</x:v>
      </x:c>
      <x:c r="F99" s="170" t="str">
        <x:v>kg total cable stack</x:v>
      </x:c>
      <x:c r="G99" s="170" t="n">
        <x:v>12</x:v>
      </x:c>
      <x:c r="H99" s="170" t="str">
        <x:v>No assisted repetitions; detailed form not recorded</x:v>
      </x:c>
      <x:c r="I99" s="170" t="str">
        <x:v>No pain reported before, during, or after workout</x:v>
      </x:c>
      <x:c r="J99" s="170" t="str">
        <x:v>Medium pre; Low-Medium post</x:v>
      </x:c>
      <x:c r="K99" s="170" t="str">
        <x:v>Okay</x:v>
      </x:c>
      <x:c r="L99" s="170"/>
      <x:c r="M99" s="170" t="str">
        <x:v>Working</x:v>
      </x:c>
      <x:c r="N99" s="170" t="str">
        <x:v>1</x:v>
      </x:c>
    </x:row>
    <x:row r="100" ht="39.599998474121094" hidden="0" customHeight="1">
      <x:c r="A100" s="220" t="n">
        <x:v>46241</x:v>
      </x:c>
      <x:c r="B100" s="170" t="str">
        <x:v>Shoulders</x:v>
      </x:c>
      <x:c r="C100" s="170" t="str">
        <x:v>Face Pull</x:v>
      </x:c>
      <x:c r="D100" s="170" t="n">
        <x:v>3</x:v>
      </x:c>
      <x:c r="E100" s="170" t="n">
        <x:v>45</x:v>
      </x:c>
      <x:c r="F100" s="170" t="str">
        <x:v>kg total cable stack</x:v>
      </x:c>
      <x:c r="G100" s="170" t="n">
        <x:v>10</x:v>
      </x:c>
      <x:c r="H100" s="170" t="str">
        <x:v>No assisted repetitions; detailed form not recorded</x:v>
      </x:c>
      <x:c r="I100" s="170" t="str">
        <x:v>No pain reported before, during, or after workout</x:v>
      </x:c>
      <x:c r="J100" s="170" t="str">
        <x:v>Medium pre; Low-Medium post</x:v>
      </x:c>
      <x:c r="K100" s="170" t="str">
        <x:v>Okay</x:v>
      </x:c>
      <x:c r="L100" s="170" t="str">
        <x:v>Next target 40 kg x 13-15 at RIR 2; use 45 kg only with clean eye/forehead rope path and no lean-back</x:v>
      </x:c>
      <x:c r="M100" s="170" t="str">
        <x:v>Working</x:v>
      </x:c>
      <x:c r="N100" s="170" t="str">
        <x:v>2</x:v>
      </x:c>
    </x:row>
    <x:row r="101" ht="39.599998474121094" hidden="0" customHeight="1">
      <x:c r="A101" s="220" t="n">
        <x:v>46241</x:v>
      </x:c>
      <x:c r="B101" s="170" t="str">
        <x:v>Shoulders</x:v>
      </x:c>
      <x:c r="C101" s="170" t="str">
        <x:v>Reverse Pec Deck</x:v>
      </x:c>
      <x:c r="D101" s="170" t="n">
        <x:v>1</x:v>
      </x:c>
      <x:c r="E101" s="170" t="n">
        <x:v>25</x:v>
      </x:c>
      <x:c r="F101" s="170" t="str">
        <x:v>kg total machine stack</x:v>
      </x:c>
      <x:c r="G101" s="170" t="n">
        <x:v>15</x:v>
      </x:c>
      <x:c r="H101" s="170" t="str">
        <x:v>No assisted repetitions; detailed form not recorded</x:v>
      </x:c>
      <x:c r="I101" s="170" t="str">
        <x:v>No pain reported before, during, or after workout</x:v>
      </x:c>
      <x:c r="J101" s="170" t="str">
        <x:v>Medium pre; Low-Medium post</x:v>
      </x:c>
      <x:c r="K101" s="170" t="str">
        <x:v>Okay</x:v>
      </x:c>
      <x:c r="L101" s="170"/>
      <x:c r="M101" s="170" t="str">
        <x:v>Working</x:v>
      </x:c>
      <x:c r="N101" s="170" t="str">
        <x:v>2</x:v>
      </x:c>
    </x:row>
    <x:row r="102" ht="39.599998474121094" hidden="0" customHeight="1">
      <x:c r="A102" s="220" t="n">
        <x:v>46241</x:v>
      </x:c>
      <x:c r="B102" s="170" t="str">
        <x:v>Shoulders</x:v>
      </x:c>
      <x:c r="C102" s="170" t="str">
        <x:v>Reverse Pec Deck</x:v>
      </x:c>
      <x:c r="D102" s="170" t="n">
        <x:v>2</x:v>
      </x:c>
      <x:c r="E102" s="170" t="n">
        <x:v>30</x:v>
      </x:c>
      <x:c r="F102" s="170" t="str">
        <x:v>kg total machine stack</x:v>
      </x:c>
      <x:c r="G102" s="170" t="n">
        <x:v>12</x:v>
      </x:c>
      <x:c r="H102" s="170" t="str">
        <x:v>No assisted repetitions; detailed form not recorded</x:v>
      </x:c>
      <x:c r="I102" s="170" t="str">
        <x:v>No pain reported before, during, or after workout</x:v>
      </x:c>
      <x:c r="J102" s="170" t="str">
        <x:v>Medium pre; Low-Medium post</x:v>
      </x:c>
      <x:c r="K102" s="170" t="str">
        <x:v>Okay</x:v>
      </x:c>
      <x:c r="L102" s="170"/>
      <x:c r="M102" s="170" t="str">
        <x:v>Working</x:v>
      </x:c>
      <x:c r="N102" s="170" t="str">
        <x:v>1</x:v>
      </x:c>
    </x:row>
    <x:row r="103" ht="39.599998474121094" hidden="0" customHeight="1">
      <x:c r="A103" s="220" t="n">
        <x:v>46241</x:v>
      </x:c>
      <x:c r="B103" s="170" t="str">
        <x:v>Shoulders</x:v>
      </x:c>
      <x:c r="C103" s="170" t="str">
        <x:v>Reverse Pec Deck</x:v>
      </x:c>
      <x:c r="D103" s="170" t="n">
        <x:v>3</x:v>
      </x:c>
      <x:c r="E103" s="170" t="n">
        <x:v>35</x:v>
      </x:c>
      <x:c r="F103" s="170" t="str">
        <x:v>kg total machine stack</x:v>
      </x:c>
      <x:c r="G103" s="170" t="n">
        <x:v>10</x:v>
      </x:c>
      <x:c r="H103" s="170" t="str">
        <x:v>No assisted repetitions; detailed form not recorded</x:v>
      </x:c>
      <x:c r="I103" s="170" t="str">
        <x:v>No pain reported before, during, or after workout</x:v>
      </x:c>
      <x:c r="J103" s="170" t="str">
        <x:v>Medium pre; Low-Medium post</x:v>
      </x:c>
      <x:c r="K103" s="170" t="str">
        <x:v>Okay</x:v>
      </x:c>
      <x:c r="L103" s="170" t="str">
        <x:v>Next target 30 kg x 13-15 at RIR 2; do not increase beyond 35 kg until 30 kg reaches 15 strict reps</x:v>
      </x:c>
      <x:c r="M103" s="170" t="str">
        <x:v>Working</x:v>
      </x:c>
      <x:c r="N103" s="170" t="str">
        <x:v>1</x:v>
      </x:c>
    </x:row>
    <x:row r="104" ht="39.599998474121094" hidden="0" customHeight="1">
      <x:c r="A104" s="220" t="n">
        <x:v>46241</x:v>
      </x:c>
      <x:c r="B104" s="170" t="str">
        <x:v>Shoulders</x:v>
      </x:c>
      <x:c r="C104" s="170" t="str">
        <x:v>Single-Arm Cable Lateral Raise</x:v>
      </x:c>
      <x:c r="D104" s="170" t="n">
        <x:v>1</x:v>
      </x:c>
      <x:c r="E104" s="170" t="n">
        <x:v>5</x:v>
      </x:c>
      <x:c r="F104" s="170" t="str">
        <x:v>kg total cable stack; each arm</x:v>
      </x:c>
      <x:c r="G104" s="170" t="n">
        <x:v>16</x:v>
      </x:c>
      <x:c r="H104" s="170" t="str">
        <x:v>Low-pulley single-arm lateral raise; reps each arm; no assisted repetitions</x:v>
      </x:c>
      <x:c r="I104" s="170" t="str">
        <x:v>No pain reported before, during, or after workout</x:v>
      </x:c>
      <x:c r="J104" s="170" t="str">
        <x:v>Medium pre; Low-Medium post</x:v>
      </x:c>
      <x:c r="K104" s="170" t="str">
        <x:v>Okay</x:v>
      </x:c>
      <x:c r="L104" s="170"/>
      <x:c r="M104" s="170" t="str">
        <x:v>Working</x:v>
      </x:c>
      <x:c r="N104" s="170" t="str">
        <x:v>2</x:v>
      </x:c>
    </x:row>
    <x:row r="105" ht="39.599998474121094" hidden="0" customHeight="1">
      <x:c r="A105" s="220" t="n">
        <x:v>46241</x:v>
      </x:c>
      <x:c r="B105" s="170" t="str">
        <x:v>Shoulders</x:v>
      </x:c>
      <x:c r="C105" s="170" t="str">
        <x:v>Single-Arm Cable Lateral Raise</x:v>
      </x:c>
      <x:c r="D105" s="170" t="n">
        <x:v>2</x:v>
      </x:c>
      <x:c r="E105" s="170" t="n">
        <x:v>10</x:v>
      </x:c>
      <x:c r="F105" s="170" t="str">
        <x:v>kg total cable stack; each arm</x:v>
      </x:c>
      <x:c r="G105" s="170" t="n">
        <x:v>10</x:v>
      </x:c>
      <x:c r="H105" s="170" t="str">
        <x:v>Low-pulley single-arm lateral raise; reps each arm; no assisted repetitions</x:v>
      </x:c>
      <x:c r="I105" s="170" t="str">
        <x:v>No pain reported before, during, or after workout</x:v>
      </x:c>
      <x:c r="J105" s="170" t="str">
        <x:v>Medium pre; Low-Medium post</x:v>
      </x:c>
      <x:c r="K105" s="170" t="str">
        <x:v>Okay</x:v>
      </x:c>
      <x:c r="L105" s="170"/>
      <x:c r="M105" s="170" t="str">
        <x:v>Working</x:v>
      </x:c>
      <x:c r="N105" s="170" t="str">
        <x:v>1</x:v>
      </x:c>
    </x:row>
    <x:row r="106" ht="39.599998474121094" hidden="0" customHeight="1">
      <x:c r="A106" s="220" t="n">
        <x:v>46241</x:v>
      </x:c>
      <x:c r="B106" s="170" t="str">
        <x:v>Shoulders</x:v>
      </x:c>
      <x:c r="C106" s="170" t="str">
        <x:v>Single-Arm Cable Lateral Raise</x:v>
      </x:c>
      <x:c r="D106" s="170" t="n">
        <x:v>3</x:v>
      </x:c>
      <x:c r="E106" s="170" t="n">
        <x:v>10</x:v>
      </x:c>
      <x:c r="F106" s="170" t="str">
        <x:v>kg total cable stack; each arm</x:v>
      </x:c>
      <x:c r="G106" s="170" t="n">
        <x:v>11</x:v>
      </x:c>
      <x:c r="H106" s="170" t="str">
        <x:v>Low-pulley single-arm lateral raise; reps each arm; no assisted repetitions</x:v>
      </x:c>
      <x:c r="I106" s="170" t="str">
        <x:v>No pain reported before, during, or after workout</x:v>
      </x:c>
      <x:c r="J106" s="170" t="str">
        <x:v>Medium pre; Low-Medium post</x:v>
      </x:c>
      <x:c r="K106" s="170" t="str">
        <x:v>Okay</x:v>
      </x:c>
      <x:c r="L106" s="170" t="str">
        <x:v>If 7.5 kg is available, target 12-15 reps at RIR 2; otherwise use 5 kg x 18-20 slow, then 10 kg x 8-10 without failure</x:v>
      </x:c>
      <x:c r="M106" s="170" t="str">
        <x:v>Working</x:v>
      </x:c>
      <x:c r="N106" s="170" t="str">
        <x:v>1</x:v>
      </x:c>
    </x:row>
    <x:row r="107" ht="39.599998474121094" hidden="0" customHeight="1">
      <x:c r="A107" s="220" t="n">
        <x:v>46241</x:v>
      </x:c>
      <x:c r="B107" s="170" t="str">
        <x:v>Shoulders</x:v>
      </x:c>
      <x:c r="C107" s="170" t="str">
        <x:v>Dumbbell Shrugs</x:v>
      </x:c>
      <x:c r="D107" s="170" t="n">
        <x:v>1</x:v>
      </x:c>
      <x:c r="E107" s="170" t="n">
        <x:v>25</x:v>
      </x:c>
      <x:c r="F107" s="170" t="str">
        <x:v>kg each dumbbell</x:v>
      </x:c>
      <x:c r="G107" s="170" t="n">
        <x:v>15</x:v>
      </x:c>
      <x:c r="H107" s="170" t="str">
        <x:v>No assisted repetitions; detailed form not recorded</x:v>
      </x:c>
      <x:c r="I107" s="170" t="str">
        <x:v>No pain reported before, during, or after workout</x:v>
      </x:c>
      <x:c r="J107" s="170" t="str">
        <x:v>Medium pre; Low-Medium post</x:v>
      </x:c>
      <x:c r="K107" s="170" t="str">
        <x:v>Okay</x:v>
      </x:c>
      <x:c r="L107" s="170"/>
      <x:c r="M107" s="170" t="str">
        <x:v>Working</x:v>
      </x:c>
      <x:c r="N107" s="170" t="str">
        <x:v>3</x:v>
      </x:c>
    </x:row>
    <x:row r="108" ht="39.599998474121094" hidden="0" customHeight="1">
      <x:c r="A108" s="220" t="n">
        <x:v>46241</x:v>
      </x:c>
      <x:c r="B108" s="170" t="str">
        <x:v>Shoulders</x:v>
      </x:c>
      <x:c r="C108" s="170" t="str">
        <x:v>Dumbbell Shrugs</x:v>
      </x:c>
      <x:c r="D108" s="170" t="n">
        <x:v>2</x:v>
      </x:c>
      <x:c r="E108" s="170" t="n">
        <x:v>30</x:v>
      </x:c>
      <x:c r="F108" s="170" t="str">
        <x:v>kg each dumbbell</x:v>
      </x:c>
      <x:c r="G108" s="170" t="n">
        <x:v>12</x:v>
      </x:c>
      <x:c r="H108" s="170" t="str">
        <x:v>No assisted repetitions; detailed form not recorded</x:v>
      </x:c>
      <x:c r="I108" s="170" t="str">
        <x:v>No pain reported before, during, or after workout</x:v>
      </x:c>
      <x:c r="J108" s="170" t="str">
        <x:v>Medium pre; Low-Medium post</x:v>
      </x:c>
      <x:c r="K108" s="170" t="str">
        <x:v>Okay</x:v>
      </x:c>
      <x:c r="L108" s="170"/>
      <x:c r="M108" s="170" t="str">
        <x:v>Working</x:v>
      </x:c>
      <x:c r="N108" s="170" t="str">
        <x:v>2</x:v>
      </x:c>
    </x:row>
    <x:row r="109" ht="39.599998474121094" hidden="0" customHeight="1">
      <x:c r="A109" s="220" t="n">
        <x:v>46241</x:v>
      </x:c>
      <x:c r="B109" s="170" t="str">
        <x:v>Shoulders</x:v>
      </x:c>
      <x:c r="C109" s="170" t="str">
        <x:v>Dumbbell Shrugs</x:v>
      </x:c>
      <x:c r="D109" s="170" t="n">
        <x:v>3</x:v>
      </x:c>
      <x:c r="E109" s="170" t="n">
        <x:v>40</x:v>
      </x:c>
      <x:c r="F109" s="170" t="str">
        <x:v>kg each dumbbell</x:v>
      </x:c>
      <x:c r="G109" s="170" t="n">
        <x:v>10</x:v>
      </x:c>
      <x:c r="H109" s="170" t="str">
        <x:v>No assisted repetitions; detailed form not recorded</x:v>
      </x:c>
      <x:c r="I109" s="170" t="str">
        <x:v>No pain reported before, during, or after workout</x:v>
      </x:c>
      <x:c r="J109" s="170" t="str">
        <x:v>Medium pre; Low-Medium post</x:v>
      </x:c>
      <x:c r="K109" s="170" t="str">
        <x:v>Okay</x:v>
      </x:c>
      <x:c r="L109" s="170" t="str">
        <x:v>Next target 40 kg each x 11-12 at RIR 1-2; shrug vertically, pause at top, and do not roll shoulders</x:v>
      </x:c>
      <x:c r="M109" s="170" t="str">
        <x:v>Working</x:v>
      </x:c>
      <x:c r="N109" s="170" t="str">
        <x:v>1</x:v>
      </x:c>
    </x:row>
    <x:row r="110" ht="39.599998474121094" hidden="0" customHeight="1">
      <x:c r="A110" s="220" t="n">
        <x:v>46242</x:v>
      </x:c>
      <x:c r="B110" s="170" t="str">
        <x:v>Triceps</x:v>
      </x:c>
      <x:c r="C110" s="170" t="str">
        <x:v>Straight-Bar Pushdown</x:v>
      </x:c>
      <x:c r="D110" s="170" t="n">
        <x:v>1</x:v>
      </x:c>
      <x:c r="E110" s="170" t="n">
        <x:v>45</x:v>
      </x:c>
      <x:c r="F110" s="170" t="str">
        <x:v>kg total cable stack</x:v>
      </x:c>
      <x:c r="G110" s="170" t="n">
        <x:v>16</x:v>
      </x:c>
      <x:c r="H110" s="170" t="str">
        <x:v>User-designated warm-up; RIR 2 made it relatively demanding; no forced reps</x:v>
      </x:c>
      <x:c r="I110" s="170" t="str">
        <x:v>No shoulder, elbow, lower-back or other pain reported</x:v>
      </x:c>
      <x:c r="J110" s="170" t="str">
        <x:v>Medium pre/post</x:v>
      </x:c>
      <x:c r="K110" s="170" t="str">
        <x:v>Excellent</x:v>
      </x:c>
      <x:c r="L110" s="170" t="str">
        <x:v>Use a lighter warm-up next time at about RIR 4</x:v>
      </x:c>
      <x:c r="M110" s="170" t="str">
        <x:v>Warm-up</x:v>
      </x:c>
      <x:c r="N110" s="170" t="str">
        <x:v>2</x:v>
      </x:c>
    </x:row>
    <x:row r="111" ht="26.399999618530273" hidden="0" customHeight="1">
      <x:c r="A111" s="220" t="n">
        <x:v>46242</x:v>
      </x:c>
      <x:c r="B111" s="170" t="str">
        <x:v>Triceps</x:v>
      </x:c>
      <x:c r="C111" s="170" t="str">
        <x:v>Straight-Bar Pushdown</x:v>
      </x:c>
      <x:c r="D111" s="170" t="n">
        <x:v>2</x:v>
      </x:c>
      <x:c r="E111" s="170" t="n">
        <x:v>50</x:v>
      </x:c>
      <x:c r="F111" s="170" t="str">
        <x:v>kg total cable stack</x:v>
      </x:c>
      <x:c r="G111" s="170" t="n">
        <x:v>14</x:v>
      </x:c>
      <x:c r="H111" s="170" t="str">
        <x:v>No forced repetitions; detailed form not recorded</x:v>
      </x:c>
      <x:c r="I111" s="170" t="str">
        <x:v>No shoulder, elbow, lower-back or other pain reported</x:v>
      </x:c>
      <x:c r="J111" s="170" t="str">
        <x:v>Medium pre/post</x:v>
      </x:c>
      <x:c r="K111" s="170" t="str">
        <x:v>Excellent</x:v>
      </x:c>
      <x:c r="L111" s="170"/>
      <x:c r="M111" s="170" t="str">
        <x:v>Working</x:v>
      </x:c>
      <x:c r="N111" s="170" t="str">
        <x:v>2</x:v>
      </x:c>
    </x:row>
    <x:row r="112" ht="26.399999618530273" hidden="0" customHeight="1">
      <x:c r="A112" s="220" t="n">
        <x:v>46242</x:v>
      </x:c>
      <x:c r="B112" s="170" t="str">
        <x:v>Triceps</x:v>
      </x:c>
      <x:c r="C112" s="170" t="str">
        <x:v>Straight-Bar Pushdown</x:v>
      </x:c>
      <x:c r="D112" s="170" t="n">
        <x:v>3</x:v>
      </x:c>
      <x:c r="E112" s="170" t="n">
        <x:v>55</x:v>
      </x:c>
      <x:c r="F112" s="170" t="str">
        <x:v>kg total cable stack</x:v>
      </x:c>
      <x:c r="G112" s="170" t="n">
        <x:v>12</x:v>
      </x:c>
      <x:c r="H112" s="170" t="str">
        <x:v>No forced repetitions; detailed form not recorded</x:v>
      </x:c>
      <x:c r="I112" s="170" t="str">
        <x:v>No shoulder, elbow, lower-back or other pain reported</x:v>
      </x:c>
      <x:c r="J112" s="170" t="str">
        <x:v>Medium pre/post</x:v>
      </x:c>
      <x:c r="K112" s="170" t="str">
        <x:v>Excellent</x:v>
      </x:c>
      <x:c r="L112" s="170"/>
      <x:c r="M112" s="170" t="str">
        <x:v>Working</x:v>
      </x:c>
      <x:c r="N112" s="170" t="str">
        <x:v>1</x:v>
      </x:c>
    </x:row>
    <x:row r="113" ht="26.399999618530273" hidden="0" customHeight="1">
      <x:c r="A113" s="220" t="n">
        <x:v>46242</x:v>
      </x:c>
      <x:c r="B113" s="170" t="str">
        <x:v>Triceps</x:v>
      </x:c>
      <x:c r="C113" s="170" t="str">
        <x:v>Straight-Bar Pushdown</x:v>
      </x:c>
      <x:c r="D113" s="170" t="n">
        <x:v>4</x:v>
      </x:c>
      <x:c r="E113" s="170" t="n">
        <x:v>60</x:v>
      </x:c>
      <x:c r="F113" s="170" t="str">
        <x:v>kg total cable stack</x:v>
      </x:c>
      <x:c r="G113" s="170" t="n">
        <x:v>9</x:v>
      </x:c>
      <x:c r="H113" s="170" t="str">
        <x:v>No forced repetitions; detailed form not recorded</x:v>
      </x:c>
      <x:c r="I113" s="170" t="str">
        <x:v>No shoulder, elbow, lower-back or other pain reported</x:v>
      </x:c>
      <x:c r="J113" s="170" t="str">
        <x:v>Medium pre/post</x:v>
      </x:c>
      <x:c r="K113" s="170" t="str">
        <x:v>Excellent</x:v>
      </x:c>
      <x:c r="L113" s="170" t="str">
        <x:v>Next target 55 kg x 13-14 at RIR 2 before progressing 60 kg</x:v>
      </x:c>
      <x:c r="M113" s="170" t="str">
        <x:v>Working</x:v>
      </x:c>
      <x:c r="N113" s="170" t="str">
        <x:v>1</x:v>
      </x:c>
    </x:row>
    <x:row r="114" ht="39.599998474121094" hidden="0" customHeight="1">
      <x:c r="A114" s="220" t="n">
        <x:v>46242</x:v>
      </x:c>
      <x:c r="B114" s="170" t="str">
        <x:v>Triceps</x:v>
      </x:c>
      <x:c r="C114" s="170" t="str">
        <x:v>Rope Pushdown</x:v>
      </x:c>
      <x:c r="D114" s="170" t="n">
        <x:v>1</x:v>
      </x:c>
      <x:c r="E114" s="170" t="n">
        <x:v>30</x:v>
      </x:c>
      <x:c r="F114" s="170" t="str">
        <x:v>kg total cable stack</x:v>
      </x:c>
      <x:c r="G114" s="170" t="n">
        <x:v>15</x:v>
      </x:c>
      <x:c r="H114" s="170" t="str">
        <x:v>User described this as warm-up cum working; RIR 2 indicates a working stimulus</x:v>
      </x:c>
      <x:c r="I114" s="170" t="str">
        <x:v>No shoulder, elbow, lower-back or other pain reported</x:v>
      </x:c>
      <x:c r="J114" s="170" t="str">
        <x:v>Medium pre/post</x:v>
      </x:c>
      <x:c r="K114" s="170" t="str">
        <x:v>Excellent</x:v>
      </x:c>
      <x:c r="L114" s="170"/>
      <x:c r="M114" s="170" t="str">
        <x:v>Working</x:v>
      </x:c>
      <x:c r="N114" s="170" t="str">
        <x:v>2</x:v>
      </x:c>
    </x:row>
    <x:row r="115" ht="26.399999618530273" hidden="0" customHeight="1">
      <x:c r="A115" s="220" t="n">
        <x:v>46242</x:v>
      </x:c>
      <x:c r="B115" s="170" t="str">
        <x:v>Triceps</x:v>
      </x:c>
      <x:c r="C115" s="170" t="str">
        <x:v>Rope Pushdown</x:v>
      </x:c>
      <x:c r="D115" s="170" t="n">
        <x:v>2</x:v>
      </x:c>
      <x:c r="E115" s="170" t="n">
        <x:v>35</x:v>
      </x:c>
      <x:c r="F115" s="170" t="str">
        <x:v>kg total cable stack</x:v>
      </x:c>
      <x:c r="G115" s="170" t="n">
        <x:v>12</x:v>
      </x:c>
      <x:c r="H115" s="170" t="str">
        <x:v>No forced repetitions; detailed form not recorded</x:v>
      </x:c>
      <x:c r="I115" s="170" t="str">
        <x:v>No shoulder, elbow, lower-back or other pain reported</x:v>
      </x:c>
      <x:c r="J115" s="170" t="str">
        <x:v>Medium pre/post</x:v>
      </x:c>
      <x:c r="K115" s="170" t="str">
        <x:v>Excellent</x:v>
      </x:c>
      <x:c r="L115" s="170"/>
      <x:c r="M115" s="170" t="str">
        <x:v>Working</x:v>
      </x:c>
      <x:c r="N115" s="170" t="str">
        <x:v>1</x:v>
      </x:c>
    </x:row>
    <x:row r="116" ht="26.399999618530273" hidden="0" customHeight="1">
      <x:c r="A116" s="220" t="n">
        <x:v>46242</x:v>
      </x:c>
      <x:c r="B116" s="170" t="str">
        <x:v>Triceps</x:v>
      </x:c>
      <x:c r="C116" s="170" t="str">
        <x:v>Rope Pushdown</x:v>
      </x:c>
      <x:c r="D116" s="170" t="n">
        <x:v>3</x:v>
      </x:c>
      <x:c r="E116" s="170" t="n">
        <x:v>40</x:v>
      </x:c>
      <x:c r="F116" s="170" t="str">
        <x:v>kg total cable stack</x:v>
      </x:c>
      <x:c r="G116" s="170" t="n">
        <x:v>10</x:v>
      </x:c>
      <x:c r="H116" s="170" t="str">
        <x:v>No forced repetitions; detailed form not recorded</x:v>
      </x:c>
      <x:c r="I116" s="170" t="str">
        <x:v>No shoulder, elbow, lower-back or other pain reported</x:v>
      </x:c>
      <x:c r="J116" s="170" t="str">
        <x:v>Medium pre/post</x:v>
      </x:c>
      <x:c r="K116" s="170" t="str">
        <x:v>Excellent</x:v>
      </x:c>
      <x:c r="L116" s="170"/>
      <x:c r="M116" s="170" t="str">
        <x:v>Working</x:v>
      </x:c>
      <x:c r="N116" s="170" t="str">
        <x:v>1</x:v>
      </x:c>
    </x:row>
    <x:row r="117" ht="26.399999618530273" hidden="0" customHeight="1">
      <x:c r="A117" s="220" t="n">
        <x:v>46242</x:v>
      </x:c>
      <x:c r="B117" s="170" t="str">
        <x:v>Triceps</x:v>
      </x:c>
      <x:c r="C117" s="170" t="str">
        <x:v>Rope Pushdown</x:v>
      </x:c>
      <x:c r="D117" s="170" t="n">
        <x:v>4</x:v>
      </x:c>
      <x:c r="E117" s="170" t="n">
        <x:v>45</x:v>
      </x:c>
      <x:c r="F117" s="170" t="str">
        <x:v>kg total cable stack</x:v>
      </x:c>
      <x:c r="G117" s="170" t="n">
        <x:v>8</x:v>
      </x:c>
      <x:c r="H117" s="170" t="str">
        <x:v>No forced repetitions; detailed form not recorded</x:v>
      </x:c>
      <x:c r="I117" s="170" t="str">
        <x:v>No shoulder, elbow, lower-back or other pain reported</x:v>
      </x:c>
      <x:c r="J117" s="170" t="str">
        <x:v>Medium pre/post</x:v>
      </x:c>
      <x:c r="K117" s="170" t="str">
        <x:v>Excellent</x:v>
      </x:c>
      <x:c r="L117" s="170" t="str">
        <x:v>Next target 40 kg x 11-12 at RIR 2; no fourth set next time</x:v>
      </x:c>
      <x:c r="M117" s="170" t="str">
        <x:v>Working</x:v>
      </x:c>
      <x:c r="N117" s="170" t="str">
        <x:v>1</x:v>
      </x:c>
    </x:row>
    <x:row r="118" ht="26.399999618530273" hidden="0" customHeight="1">
      <x:c r="A118" s="220" t="n">
        <x:v>46242</x:v>
      </x:c>
      <x:c r="B118" s="170" t="str">
        <x:v>Triceps</x:v>
      </x:c>
      <x:c r="C118" s="170" t="str">
        <x:v>Overhead Rope Extension</x:v>
      </x:c>
      <x:c r="D118" s="170" t="n">
        <x:v>1</x:v>
      </x:c>
      <x:c r="E118" s="170" t="n">
        <x:v>35</x:v>
      </x:c>
      <x:c r="F118" s="170" t="str">
        <x:v>kg total cable stack</x:v>
      </x:c>
      <x:c r="G118" s="170" t="n">
        <x:v>10</x:v>
      </x:c>
      <x:c r="H118" s="170" t="str">
        <x:v>No forced repetitions; detailed form not recorded</x:v>
      </x:c>
      <x:c r="I118" s="170" t="str">
        <x:v>No shoulder, elbow, lower-back or other pain reported</x:v>
      </x:c>
      <x:c r="J118" s="170" t="str">
        <x:v>Medium pre/post</x:v>
      </x:c>
      <x:c r="K118" s="170" t="str">
        <x:v>Excellent</x:v>
      </x:c>
      <x:c r="L118" s="170"/>
      <x:c r="M118" s="170" t="str">
        <x:v>Working</x:v>
      </x:c>
      <x:c r="N118" s="170" t="str">
        <x:v>1</x:v>
      </x:c>
    </x:row>
    <x:row r="119" ht="26.399999618530273" hidden="0" customHeight="1">
      <x:c r="A119" s="220" t="n">
        <x:v>46242</x:v>
      </x:c>
      <x:c r="B119" s="170" t="str">
        <x:v>Triceps</x:v>
      </x:c>
      <x:c r="C119" s="170" t="str">
        <x:v>Overhead Rope Extension</x:v>
      </x:c>
      <x:c r="D119" s="170" t="n">
        <x:v>2</x:v>
      </x:c>
      <x:c r="E119" s="170" t="n">
        <x:v>40</x:v>
      </x:c>
      <x:c r="F119" s="170" t="str">
        <x:v>kg total cable stack</x:v>
      </x:c>
      <x:c r="G119" s="170" t="n">
        <x:v>8</x:v>
      </x:c>
      <x:c r="H119" s="170" t="str">
        <x:v>No forced repetitions; detailed form not recorded</x:v>
      </x:c>
      <x:c r="I119" s="170" t="str">
        <x:v>No shoulder, elbow, lower-back or other pain reported</x:v>
      </x:c>
      <x:c r="J119" s="170" t="str">
        <x:v>Medium pre/post</x:v>
      </x:c>
      <x:c r="K119" s="170" t="str">
        <x:v>Excellent</x:v>
      </x:c>
      <x:c r="L119" s="170"/>
      <x:c r="M119" s="170" t="str">
        <x:v>Working</x:v>
      </x:c>
      <x:c r="N119" s="170" t="str">
        <x:v>1</x:v>
      </x:c>
    </x:row>
    <x:row r="120" ht="26.399999618530273" hidden="0" customHeight="1">
      <x:c r="A120" s="220" t="n">
        <x:v>46242</x:v>
      </x:c>
      <x:c r="B120" s="170" t="str">
        <x:v>Triceps</x:v>
      </x:c>
      <x:c r="C120" s="170" t="str">
        <x:v>Overhead Rope Extension</x:v>
      </x:c>
      <x:c r="D120" s="170" t="n">
        <x:v>3</x:v>
      </x:c>
      <x:c r="E120" s="170" t="str">
        <x:v>45 -&gt; 35</x:v>
      </x:c>
      <x:c r="F120" s="170" t="str">
        <x:v>kg total cable stack; intra-set drop</x:v>
      </x:c>
      <x:c r="G120" s="170" t="str">
        <x:v>3 + 8</x:v>
      </x:c>
      <x:c r="H120" s="170" t="str">
        <x:v>45 kg x 3 followed immediately by 35 kg x 8; RIR not reported</x:v>
      </x:c>
      <x:c r="I120" s="170" t="str">
        <x:v>No shoulder, elbow, lower-back or other pain reported</x:v>
      </x:c>
      <x:c r="J120" s="170" t="str">
        <x:v>Medium pre/post</x:v>
      </x:c>
      <x:c r="K120" s="170" t="str">
        <x:v>Excellent</x:v>
      </x:c>
      <x:c r="L120" s="170" t="str">
        <x:v>Load was too heavy; next target 30-35 kg x 12-15 at RIR 2 with no drop set</x:v>
      </x:c>
      <x:c r="M120" s="170" t="str">
        <x:v>Drop set</x:v>
      </x:c>
      <x:c r="N120" s="170" t="str">
        <x:v>Not recorded</x:v>
      </x:c>
    </x:row>
    <x:row r="121" ht="26.399999618530273" hidden="0" customHeight="1">
      <x:c r="A121" s="220" t="n">
        <x:v>46242</x:v>
      </x:c>
      <x:c r="B121" s="170" t="str">
        <x:v>Triceps</x:v>
      </x:c>
      <x:c r="C121" s="170" t="str">
        <x:v>Single-Arm Cable Pushdown</x:v>
      </x:c>
      <x:c r="D121" s="170" t="n">
        <x:v>1</x:v>
      </x:c>
      <x:c r="E121" s="170" t="n">
        <x:v>10</x:v>
      </x:c>
      <x:c r="F121" s="170" t="str">
        <x:v>kg total cable stack; each arm</x:v>
      </x:c>
      <x:c r="G121" s="170" t="n">
        <x:v>15</x:v>
      </x:c>
      <x:c r="H121" s="170" t="str">
        <x:v>Both arms matched; reps listed per arm; no forced repetitions</x:v>
      </x:c>
      <x:c r="I121" s="170" t="str">
        <x:v>No shoulder, elbow, lower-back or other pain reported</x:v>
      </x:c>
      <x:c r="J121" s="170" t="str">
        <x:v>Medium pre/post</x:v>
      </x:c>
      <x:c r="K121" s="170" t="str">
        <x:v>Excellent</x:v>
      </x:c>
      <x:c r="L121" s="170"/>
      <x:c r="M121" s="170" t="str">
        <x:v>Working</x:v>
      </x:c>
      <x:c r="N121" s="170" t="str">
        <x:v>1</x:v>
      </x:c>
    </x:row>
    <x:row r="122" ht="26.399999618530273" hidden="0" customHeight="1">
      <x:c r="A122" s="220" t="n">
        <x:v>46242</x:v>
      </x:c>
      <x:c r="B122" s="170" t="str">
        <x:v>Triceps</x:v>
      </x:c>
      <x:c r="C122" s="170" t="str">
        <x:v>Single-Arm Cable Pushdown</x:v>
      </x:c>
      <x:c r="D122" s="170" t="n">
        <x:v>2</x:v>
      </x:c>
      <x:c r="E122" s="170" t="n">
        <x:v>15</x:v>
      </x:c>
      <x:c r="F122" s="170" t="str">
        <x:v>kg total cable stack; each arm</x:v>
      </x:c>
      <x:c r="G122" s="170" t="n">
        <x:v>10</x:v>
      </x:c>
      <x:c r="H122" s="170" t="str">
        <x:v>Both arms matched; reps listed per arm; no forced repetitions</x:v>
      </x:c>
      <x:c r="I122" s="170" t="str">
        <x:v>No shoulder, elbow, lower-back or other pain reported</x:v>
      </x:c>
      <x:c r="J122" s="170" t="str">
        <x:v>Medium pre/post</x:v>
      </x:c>
      <x:c r="K122" s="170" t="str">
        <x:v>Excellent</x:v>
      </x:c>
      <x:c r="L122" s="170"/>
      <x:c r="M122" s="170" t="str">
        <x:v>Working</x:v>
      </x:c>
      <x:c r="N122" s="170" t="str">
        <x:v>1</x:v>
      </x:c>
    </x:row>
    <x:row r="123" ht="26.399999618530273" hidden="0" customHeight="1">
      <x:c r="A123" s="220" t="n">
        <x:v>46242</x:v>
      </x:c>
      <x:c r="B123" s="170" t="str">
        <x:v>Triceps</x:v>
      </x:c>
      <x:c r="C123" s="170" t="str">
        <x:v>Single-Arm Cable Pushdown</x:v>
      </x:c>
      <x:c r="D123" s="170" t="n">
        <x:v>3</x:v>
      </x:c>
      <x:c r="E123" s="170" t="n">
        <x:v>15</x:v>
      </x:c>
      <x:c r="F123" s="170" t="str">
        <x:v>kg total cable stack; each arm</x:v>
      </x:c>
      <x:c r="G123" s="170" t="n">
        <x:v>10</x:v>
      </x:c>
      <x:c r="H123" s="170" t="str">
        <x:v>Both arms matched; reps listed per arm; no forced repetitions</x:v>
      </x:c>
      <x:c r="I123" s="170" t="str">
        <x:v>No shoulder, elbow, lower-back or other pain reported</x:v>
      </x:c>
      <x:c r="J123" s="170" t="str">
        <x:v>Medium pre/post</x:v>
      </x:c>
      <x:c r="K123" s="170" t="str">
        <x:v>Excellent</x:v>
      </x:c>
      <x:c r="L123" s="170" t="str">
        <x:v>Next target 10 kg x 12-15 per arm at RIR 2-3</x:v>
      </x:c>
      <x:c r="M123" s="170" t="str">
        <x:v>Working</x:v>
      </x:c>
      <x:c r="N123" s="170" t="str">
        <x:v>1</x:v>
      </x:c>
    </x:row>
    <x:row r="124" ht="26.399999618530273" hidden="0" customHeight="1">
      <x:c r="A124" s="220" t="n">
        <x:v>46242</x:v>
      </x:c>
      <x:c r="B124" s="170" t="str">
        <x:v>Triceps</x:v>
      </x:c>
      <x:c r="C124" s="170" t="str">
        <x:v>Seated Two-Hand Overhead Dumbbell Extension</x:v>
      </x:c>
      <x:c r="D124" s="170" t="n">
        <x:v>1</x:v>
      </x:c>
      <x:c r="E124" s="170" t="n">
        <x:v>17.5</x:v>
      </x:c>
      <x:c r="F124" s="170" t="str">
        <x:v>kg total dumbbell</x:v>
      </x:c>
      <x:c r="G124" s="170" t="n">
        <x:v>15</x:v>
      </x:c>
      <x:c r="H124" s="170" t="str">
        <x:v>One dumbbell held with both hands; no forced repetitions</x:v>
      </x:c>
      <x:c r="I124" s="170" t="str">
        <x:v>No shoulder, elbow, lower-back or other pain reported</x:v>
      </x:c>
      <x:c r="J124" s="170" t="str">
        <x:v>Medium pre/post</x:v>
      </x:c>
      <x:c r="K124" s="170" t="str">
        <x:v>Excellent</x:v>
      </x:c>
      <x:c r="L124" s="170"/>
      <x:c r="M124" s="170" t="str">
        <x:v>Working</x:v>
      </x:c>
      <x:c r="N124" s="170" t="str">
        <x:v>3</x:v>
      </x:c>
    </x:row>
    <x:row r="125" ht="26.399999618530273" hidden="0" customHeight="1">
      <x:c r="A125" s="220" t="n">
        <x:v>46242</x:v>
      </x:c>
      <x:c r="B125" s="170" t="str">
        <x:v>Triceps</x:v>
      </x:c>
      <x:c r="C125" s="170" t="str">
        <x:v>Seated Two-Hand Overhead Dumbbell Extension</x:v>
      </x:c>
      <x:c r="D125" s="170" t="n">
        <x:v>2</x:v>
      </x:c>
      <x:c r="E125" s="170" t="n">
        <x:v>20</x:v>
      </x:c>
      <x:c r="F125" s="170" t="str">
        <x:v>kg total dumbbell</x:v>
      </x:c>
      <x:c r="G125" s="170" t="n">
        <x:v>13</x:v>
      </x:c>
      <x:c r="H125" s="170" t="str">
        <x:v>One dumbbell held with both hands; no forced repetitions</x:v>
      </x:c>
      <x:c r="I125" s="170" t="str">
        <x:v>No shoulder, elbow, lower-back or other pain reported</x:v>
      </x:c>
      <x:c r="J125" s="170" t="str">
        <x:v>Medium pre/post</x:v>
      </x:c>
      <x:c r="K125" s="170" t="str">
        <x:v>Excellent</x:v>
      </x:c>
      <x:c r="L125" s="170"/>
      <x:c r="M125" s="170" t="str">
        <x:v>Working</x:v>
      </x:c>
      <x:c r="N125" s="170" t="str">
        <x:v>2</x:v>
      </x:c>
    </x:row>
    <x:row r="126" ht="26.399999618530273" hidden="0" customHeight="1">
      <x:c r="A126" s="220" t="n">
        <x:v>46242</x:v>
      </x:c>
      <x:c r="B126" s="170" t="str">
        <x:v>Triceps</x:v>
      </x:c>
      <x:c r="C126" s="170" t="str">
        <x:v>Seated Two-Hand Overhead Dumbbell Extension</x:v>
      </x:c>
      <x:c r="D126" s="170" t="n">
        <x:v>3</x:v>
      </x:c>
      <x:c r="E126" s="170" t="n">
        <x:v>22.5</x:v>
      </x:c>
      <x:c r="F126" s="170" t="str">
        <x:v>kg total dumbbell</x:v>
      </x:c>
      <x:c r="G126" s="170" t="n">
        <x:v>10</x:v>
      </x:c>
      <x:c r="H126" s="170" t="str">
        <x:v>One dumbbell held with both hands; no forced repetitions</x:v>
      </x:c>
      <x:c r="I126" s="170" t="str">
        <x:v>No shoulder, elbow, lower-back or other pain reported</x:v>
      </x:c>
      <x:c r="J126" s="170" t="str">
        <x:v>Medium pre/post</x:v>
      </x:c>
      <x:c r="K126" s="170" t="str">
        <x:v>Excellent</x:v>
      </x:c>
      <x:c r="L126" s="170"/>
      <x:c r="M126" s="170" t="str">
        <x:v>Working</x:v>
      </x:c>
      <x:c r="N126" s="170" t="str">
        <x:v>2</x:v>
      </x:c>
    </x:row>
    <x:row r="127" ht="26.399999618530273" hidden="0" customHeight="1">
      <x:c r="A127" s="220" t="n">
        <x:v>46242</x:v>
      </x:c>
      <x:c r="B127" s="170" t="str">
        <x:v>Triceps</x:v>
      </x:c>
      <x:c r="C127" s="170" t="str">
        <x:v>Seated Two-Hand Overhead Dumbbell Extension</x:v>
      </x:c>
      <x:c r="D127" s="170" t="n">
        <x:v>4</x:v>
      </x:c>
      <x:c r="E127" s="170" t="n">
        <x:v>25</x:v>
      </x:c>
      <x:c r="F127" s="170" t="str">
        <x:v>kg total dumbbell</x:v>
      </x:c>
      <x:c r="G127" s="170" t="n">
        <x:v>10</x:v>
      </x:c>
      <x:c r="H127" s="170" t="str">
        <x:v>One dumbbell held with both hands; no forced repetitions</x:v>
      </x:c>
      <x:c r="I127" s="170" t="str">
        <x:v>No shoulder, elbow, lower-back or other pain reported</x:v>
      </x:c>
      <x:c r="J127" s="170" t="str">
        <x:v>Medium pre/post</x:v>
      </x:c>
      <x:c r="K127" s="170" t="str">
        <x:v>Excellent</x:v>
      </x:c>
      <x:c r="L127" s="170" t="str">
        <x:v>Next target 22.5 kg x 11-12 at RIR 2; omit the fourth set</x:v>
      </x:c>
      <x:c r="M127" s="170" t="str">
        <x:v>Working</x:v>
      </x:c>
      <x:c r="N127" s="170" t="str">
        <x:v>1</x:v>
      </x:c>
    </x:row>
    <x:row r="128" ht="26.399999618530273" hidden="0" customHeight="1">
      <x:c r="A128" s="220" t="n">
        <x:v>46242</x:v>
      </x:c>
      <x:c r="B128" s="170" t="str">
        <x:v>Triceps</x:v>
      </x:c>
      <x:c r="C128" s="170" t="str">
        <x:v>Assisted Dip Machine</x:v>
      </x:c>
      <x:c r="D128" s="170" t="n">
        <x:v>1</x:v>
      </x:c>
      <x:c r="E128" s="170" t="n">
        <x:v>70</x:v>
      </x:c>
      <x:c r="F128" s="170" t="str">
        <x:v>kg machine assistance; higher = easier</x:v>
      </x:c>
      <x:c r="G128" s="170" t="n">
        <x:v>12</x:v>
      </x:c>
      <x:c r="H128" s="170" t="str">
        <x:v>Machine support only; no forced repetitions from another person</x:v>
      </x:c>
      <x:c r="I128" s="170" t="str">
        <x:v>No shoulder, elbow, lower-back or other pain reported</x:v>
      </x:c>
      <x:c r="J128" s="170" t="str">
        <x:v>Medium pre/post</x:v>
      </x:c>
      <x:c r="K128" s="170" t="str">
        <x:v>Excellent</x:v>
      </x:c>
      <x:c r="L128" s="170"/>
      <x:c r="M128" s="170" t="str">
        <x:v>Working</x:v>
      </x:c>
      <x:c r="N128" s="170" t="str">
        <x:v>1</x:v>
      </x:c>
    </x:row>
    <x:row r="129" ht="26.399999618530273" hidden="0" customHeight="1">
      <x:c r="A129" s="220" t="n">
        <x:v>46242</x:v>
      </x:c>
      <x:c r="B129" s="170" t="str">
        <x:v>Triceps</x:v>
      </x:c>
      <x:c r="C129" s="170" t="str">
        <x:v>Assisted Dip Machine</x:v>
      </x:c>
      <x:c r="D129" s="170" t="n">
        <x:v>2</x:v>
      </x:c>
      <x:c r="E129" s="170" t="n">
        <x:v>60</x:v>
      </x:c>
      <x:c r="F129" s="170" t="str">
        <x:v>kg machine assistance; higher = easier</x:v>
      </x:c>
      <x:c r="G129" s="170" t="n">
        <x:v>10</x:v>
      </x:c>
      <x:c r="H129" s="170" t="str">
        <x:v>Machine support only; no forced repetitions from another person</x:v>
      </x:c>
      <x:c r="I129" s="170" t="str">
        <x:v>No shoulder, elbow, lower-back or other pain reported</x:v>
      </x:c>
      <x:c r="J129" s="170" t="str">
        <x:v>Medium pre/post</x:v>
      </x:c>
      <x:c r="K129" s="170" t="str">
        <x:v>Excellent</x:v>
      </x:c>
      <x:c r="L129" s="170"/>
      <x:c r="M129" s="170" t="str">
        <x:v>Working</x:v>
      </x:c>
      <x:c r="N129" s="170" t="str">
        <x:v>1</x:v>
      </x:c>
    </x:row>
    <x:row r="130" ht="39.599998474121094" hidden="0" customHeight="1">
      <x:c r="A130" s="220" t="n">
        <x:v>46242</x:v>
      </x:c>
      <x:c r="B130" s="170" t="str">
        <x:v>Triceps</x:v>
      </x:c>
      <x:c r="C130" s="170" t="str">
        <x:v>Assisted Dip Machine</x:v>
      </x:c>
      <x:c r="D130" s="170" t="n">
        <x:v>3</x:v>
      </x:c>
      <x:c r="E130" s="170" t="n">
        <x:v>60</x:v>
      </x:c>
      <x:c r="F130" s="170" t="str">
        <x:v>kg machine assistance; higher = easier</x:v>
      </x:c>
      <x:c r="G130" s="170" t="n">
        <x:v>10</x:v>
      </x:c>
      <x:c r="H130" s="170" t="str">
        <x:v>Machine support only; no forced repetitions from another person</x:v>
      </x:c>
      <x:c r="I130" s="170" t="str">
        <x:v>No shoulder, elbow, lower-back or other pain reported</x:v>
      </x:c>
      <x:c r="J130" s="170" t="str">
        <x:v>Medium pre/post</x:v>
      </x:c>
      <x:c r="K130" s="170" t="str">
        <x:v>Excellent</x:v>
      </x:c>
      <x:c r="L130" s="170" t="str">
        <x:v>Next target 70 kg assistance for 3 x 10-12 at RIR 2; reduce assistance only after 3 x 12 at RIR 2</x:v>
      </x:c>
      <x:c r="M130" s="170" t="str">
        <x:v>Working</x:v>
      </x:c>
      <x:c r="N130" s="170" t="str">
        <x:v>1</x:v>
      </x:c>
    </x:row>
    <x:row r="131">
      <x:c r="A131" s="220" t="n">
        <x:v>46244</x:v>
      </x:c>
      <x:c r="B131" s="170" t="str">
        <x:v>Back</x:v>
      </x:c>
      <x:c r="C131" s="170" t="str">
        <x:v>Seated Cable Row</x:v>
      </x:c>
      <x:c r="D131" s="170" t="n">
        <x:v>1</x:v>
      </x:c>
      <x:c r="E131" s="170" t="n">
        <x:v>45</x:v>
      </x:c>
      <x:c r="F131" s="170" t="str">
        <x:v>kg total cable stack</x:v>
      </x:c>
      <x:c r="G131" s="170" t="n">
        <x:v>16</x:v>
      </x:c>
      <x:c r="H131" s="170" t="str">
        <x:v>User-designated warm-up; RIR 2 made it stimulating</x:v>
      </x:c>
      <x:c r="I131" s="170" t="str">
        <x:v>No joint pain; slight triceps sensation only after straight-arm work</x:v>
      </x:c>
      <x:c r="J131" s="170" t="str">
        <x:v>Low to medium final</x:v>
      </x:c>
      <x:c r="K131" s="170" t="str">
        <x:v>Good</x:v>
      </x:c>
      <x:c r="L131" s="170"/>
      <x:c r="M131" s="170" t="str">
        <x:v>Working</x:v>
      </x:c>
      <x:c r="N131" s="170" t="n">
        <x:v>2</x:v>
      </x:c>
    </x:row>
    <x:row r="132">
      <x:c r="A132" s="220" t="n">
        <x:v>46244</x:v>
      </x:c>
      <x:c r="B132" s="170" t="str">
        <x:v>Back</x:v>
      </x:c>
      <x:c r="C132" s="170" t="str">
        <x:v>Seated Cable Row</x:v>
      </x:c>
      <x:c r="D132" s="170" t="n">
        <x:v>2</x:v>
      </x:c>
      <x:c r="E132" s="170" t="n">
        <x:v>50</x:v>
      </x:c>
      <x:c r="F132" s="170" t="str">
        <x:v>kg total cable stack</x:v>
      </x:c>
      <x:c r="G132" s="170" t="n">
        <x:v>12</x:v>
      </x:c>
      <x:c r="H132" s="170" t="str">
        <x:v>Torso-stability detail not independently verified</x:v>
      </x:c>
      <x:c r="I132" s="170" t="str">
        <x:v>No joint pain; slight triceps sensation only after straight-arm work</x:v>
      </x:c>
      <x:c r="J132" s="170" t="str">
        <x:v>Low to medium final</x:v>
      </x:c>
      <x:c r="K132" s="170" t="str">
        <x:v>Good</x:v>
      </x:c>
      <x:c r="L132" s="170"/>
      <x:c r="M132" s="170" t="str">
        <x:v>Working</x:v>
      </x:c>
      <x:c r="N132" s="170" t="n">
        <x:v>2</x:v>
      </x:c>
    </x:row>
    <x:row r="133">
      <x:c r="A133" s="220" t="n">
        <x:v>46244</x:v>
      </x:c>
      <x:c r="B133" s="170" t="str">
        <x:v>Back</x:v>
      </x:c>
      <x:c r="C133" s="170" t="str">
        <x:v>Seated Cable Row</x:v>
      </x:c>
      <x:c r="D133" s="170" t="n">
        <x:v>3</x:v>
      </x:c>
      <x:c r="E133" s="170" t="n">
        <x:v>55</x:v>
      </x:c>
      <x:c r="F133" s="170" t="str">
        <x:v>kg total cable stack</x:v>
      </x:c>
      <x:c r="G133" s="170" t="n">
        <x:v>10</x:v>
      </x:c>
      <x:c r="H133" s="170" t="str">
        <x:v>Torso-stability detail not independently verified</x:v>
      </x:c>
      <x:c r="I133" s="170" t="str">
        <x:v>No joint pain; slight triceps sensation only after straight-arm work</x:v>
      </x:c>
      <x:c r="J133" s="170" t="str">
        <x:v>Low to medium final</x:v>
      </x:c>
      <x:c r="K133" s="170" t="str">
        <x:v>Good</x:v>
      </x:c>
      <x:c r="L133" s="170"/>
      <x:c r="M133" s="170" t="str">
        <x:v>Working</x:v>
      </x:c>
      <x:c r="N133" s="170" t="n">
        <x:v>2</x:v>
      </x:c>
    </x:row>
    <x:row r="134">
      <x:c r="A134" s="220" t="n">
        <x:v>46244</x:v>
      </x:c>
      <x:c r="B134" s="170" t="str">
        <x:v>Back</x:v>
      </x:c>
      <x:c r="C134" s="170" t="str">
        <x:v>Seated Cable Row</x:v>
      </x:c>
      <x:c r="D134" s="170" t="n">
        <x:v>4</x:v>
      </x:c>
      <x:c r="E134" s="170" t="n">
        <x:v>60</x:v>
      </x:c>
      <x:c r="F134" s="170" t="str">
        <x:v>kg total cable stack</x:v>
      </x:c>
      <x:c r="G134" s="170" t="n">
        <x:v>9</x:v>
      </x:c>
      <x:c r="H134" s="170" t="str">
        <x:v>Progressed from 8 repetitions</x:v>
      </x:c>
      <x:c r="I134" s="170" t="str">
        <x:v>No joint pain; slight triceps sensation only after straight-arm work</x:v>
      </x:c>
      <x:c r="J134" s="170" t="str">
        <x:v>Low to medium final</x:v>
      </x:c>
      <x:c r="K134" s="170" t="str">
        <x:v>Good</x:v>
      </x:c>
      <x:c r="L134" s="170"/>
      <x:c r="M134" s="170" t="str">
        <x:v>Working</x:v>
      </x:c>
      <x:c r="N134" s="170" t="n">
        <x:v>1</x:v>
      </x:c>
    </x:row>
    <x:row r="135">
      <x:c r="A135" s="220" t="n">
        <x:v>46244</x:v>
      </x:c>
      <x:c r="B135" s="170" t="str">
        <x:v>Back</x:v>
      </x:c>
      <x:c r="C135" s="170" t="str">
        <x:v>Lat Pulldown</x:v>
      </x:c>
      <x:c r="D135" s="170" t="n">
        <x:v>1</x:v>
      </x:c>
      <x:c r="E135" s="170" t="n">
        <x:v>45</x:v>
      </x:c>
      <x:c r="F135" s="170" t="str">
        <x:v>kg total cable stack</x:v>
      </x:c>
      <x:c r="G135" s="170" t="n">
        <x:v>15</x:v>
      </x:c>
      <x:c r="H135" s="170" t="str">
        <x:v>User-designated warm-up; RIR 2 made it stimulating</x:v>
      </x:c>
      <x:c r="I135" s="170" t="str">
        <x:v>No joint pain; slight triceps sensation only after straight-arm work</x:v>
      </x:c>
      <x:c r="J135" s="170" t="str">
        <x:v>Low to medium final</x:v>
      </x:c>
      <x:c r="K135" s="170" t="str">
        <x:v>Good</x:v>
      </x:c>
      <x:c r="L135" s="170"/>
      <x:c r="M135" s="170" t="str">
        <x:v>Working</x:v>
      </x:c>
      <x:c r="N135" s="170" t="n">
        <x:v>2</x:v>
      </x:c>
    </x:row>
    <x:row r="136">
      <x:c r="A136" s="220" t="n">
        <x:v>46244</x:v>
      </x:c>
      <x:c r="B136" s="170" t="str">
        <x:v>Back</x:v>
      </x:c>
      <x:c r="C136" s="170" t="str">
        <x:v>Lat Pulldown</x:v>
      </x:c>
      <x:c r="D136" s="170" t="n">
        <x:v>2</x:v>
      </x:c>
      <x:c r="E136" s="170" t="n">
        <x:v>50</x:v>
      </x:c>
      <x:c r="F136" s="170" t="str">
        <x:v>kg total cable stack</x:v>
      </x:c>
      <x:c r="G136" s="170" t="n">
        <x:v>12</x:v>
      </x:c>
      <x:c r="H136" s="170" t="str">
        <x:v>Original RIR W explicitly corrected to RIR 2</x:v>
      </x:c>
      <x:c r="I136" s="170" t="str">
        <x:v>No joint pain; slight triceps sensation only after straight-arm work</x:v>
      </x:c>
      <x:c r="J136" s="170" t="str">
        <x:v>Low to medium final</x:v>
      </x:c>
      <x:c r="K136" s="170" t="str">
        <x:v>Good</x:v>
      </x:c>
      <x:c r="L136" s="170"/>
      <x:c r="M136" s="170" t="str">
        <x:v>Working</x:v>
      </x:c>
      <x:c r="N136" s="170" t="n">
        <x:v>2</x:v>
      </x:c>
    </x:row>
    <x:row r="137">
      <x:c r="A137" s="220" t="n">
        <x:v>46244</x:v>
      </x:c>
      <x:c r="B137" s="170" t="str">
        <x:v>Back</x:v>
      </x:c>
      <x:c r="C137" s="170" t="str">
        <x:v>Lat Pulldown</x:v>
      </x:c>
      <x:c r="D137" s="170" t="n">
        <x:v>3</x:v>
      </x:c>
      <x:c r="E137" s="170" t="n">
        <x:v>55</x:v>
      </x:c>
      <x:c r="F137" s="170" t="str">
        <x:v>kg total cable stack</x:v>
      </x:c>
      <x:c r="G137" s="170" t="n">
        <x:v>10</x:v>
      </x:c>
      <x:c r="H137" s="170" t="str">
        <x:v>Clean-form detail not independently verified</x:v>
      </x:c>
      <x:c r="I137" s="170" t="str">
        <x:v>No joint pain; slight triceps sensation only after straight-arm work</x:v>
      </x:c>
      <x:c r="J137" s="170" t="str">
        <x:v>Low to medium final</x:v>
      </x:c>
      <x:c r="K137" s="170" t="str">
        <x:v>Good</x:v>
      </x:c>
      <x:c r="L137" s="170"/>
      <x:c r="M137" s="170" t="str">
        <x:v>Working</x:v>
      </x:c>
      <x:c r="N137" s="170" t="n">
        <x:v>2</x:v>
      </x:c>
    </x:row>
    <x:row r="138">
      <x:c r="A138" s="220" t="n">
        <x:v>46244</x:v>
      </x:c>
      <x:c r="B138" s="170" t="str">
        <x:v>Back</x:v>
      </x:c>
      <x:c r="C138" s="170" t="str">
        <x:v>Lat Pulldown</x:v>
      </x:c>
      <x:c r="D138" s="170" t="n">
        <x:v>4</x:v>
      </x:c>
      <x:c r="E138" s="170" t="n">
        <x:v>55</x:v>
      </x:c>
      <x:c r="F138" s="170" t="str">
        <x:v>kg total cable stack</x:v>
      </x:c>
      <x:c r="G138" s="170" t="n">
        <x:v>10</x:v>
      </x:c>
      <x:c r="H138" s="170" t="str">
        <x:v>No 60 kg attempt or drop set</x:v>
      </x:c>
      <x:c r="I138" s="170" t="str">
        <x:v>No joint pain; slight triceps sensation only after straight-arm work</x:v>
      </x:c>
      <x:c r="J138" s="170" t="str">
        <x:v>Low to medium final</x:v>
      </x:c>
      <x:c r="K138" s="170" t="str">
        <x:v>Good</x:v>
      </x:c>
      <x:c r="L138" s="170"/>
      <x:c r="M138" s="170" t="str">
        <x:v>Working</x:v>
      </x:c>
      <x:c r="N138" s="170" t="n">
        <x:v>1</x:v>
      </x:c>
    </x:row>
    <x:row r="139">
      <x:c r="A139" s="220" t="n">
        <x:v>46244</x:v>
      </x:c>
      <x:c r="B139" s="170" t="str">
        <x:v>Back</x:v>
      </x:c>
      <x:c r="C139" s="170" t="str">
        <x:v>Chest-Supported Row</x:v>
      </x:c>
      <x:c r="D139" s="170" t="n">
        <x:v>1</x:v>
      </x:c>
      <x:c r="E139" s="170" t="n">
        <x:v>40</x:v>
      </x:c>
      <x:c r="F139" s="170" t="str">
        <x:v>kg plates each side</x:v>
      </x:c>
      <x:c r="G139" s="170" t="n">
        <x:v>15</x:v>
      </x:c>
      <x:c r="H139" s="170" t="str">
        <x:v>Chest kept against pad To verify</x:v>
      </x:c>
      <x:c r="I139" s="170" t="str">
        <x:v>No joint pain; slight triceps sensation only after straight-arm work</x:v>
      </x:c>
      <x:c r="J139" s="170" t="str">
        <x:v>Low to medium final</x:v>
      </x:c>
      <x:c r="K139" s="170" t="str">
        <x:v>Good</x:v>
      </x:c>
      <x:c r="L139" s="170"/>
      <x:c r="M139" s="170" t="str">
        <x:v>Working</x:v>
      </x:c>
      <x:c r="N139" s="170" t="n">
        <x:v>2</x:v>
      </x:c>
    </x:row>
    <x:row r="140">
      <x:c r="A140" s="220" t="n">
        <x:v>46244</x:v>
      </x:c>
      <x:c r="B140" s="170" t="str">
        <x:v>Back</x:v>
      </x:c>
      <x:c r="C140" s="170" t="str">
        <x:v>Chest-Supported Row</x:v>
      </x:c>
      <x:c r="D140" s="170" t="n">
        <x:v>2</x:v>
      </x:c>
      <x:c r="E140" s="170" t="n">
        <x:v>50</x:v>
      </x:c>
      <x:c r="F140" s="170" t="str">
        <x:v>kg plates each side</x:v>
      </x:c>
      <x:c r="G140" s="170" t="n">
        <x:v>12</x:v>
      </x:c>
      <x:c r="H140" s="170" t="str">
        <x:v>Chest kept against pad To verify</x:v>
      </x:c>
      <x:c r="I140" s="170" t="str">
        <x:v>No joint pain; slight triceps sensation only after straight-arm work</x:v>
      </x:c>
      <x:c r="J140" s="170" t="str">
        <x:v>Low to medium final</x:v>
      </x:c>
      <x:c r="K140" s="170" t="str">
        <x:v>Good</x:v>
      </x:c>
      <x:c r="L140" s="170"/>
      <x:c r="M140" s="170" t="str">
        <x:v>Working</x:v>
      </x:c>
      <x:c r="N140" s="170" t="n">
        <x:v>2</x:v>
      </x:c>
    </x:row>
    <x:row r="141">
      <x:c r="A141" s="220" t="n">
        <x:v>46244</x:v>
      </x:c>
      <x:c r="B141" s="170" t="str">
        <x:v>Back</x:v>
      </x:c>
      <x:c r="C141" s="170" t="str">
        <x:v>Chest-Supported Row</x:v>
      </x:c>
      <x:c r="D141" s="170" t="n">
        <x:v>3</x:v>
      </x:c>
      <x:c r="E141" s="170" t="n">
        <x:v>60</x:v>
      </x:c>
      <x:c r="F141" s="170" t="str">
        <x:v>kg plates each side</x:v>
      </x:c>
      <x:c r="G141" s="170" t="n">
        <x:v>11</x:v>
      </x:c>
      <x:c r="H141" s="170" t="str">
        <x:v>Matched previous reps with better reserve</x:v>
      </x:c>
      <x:c r="I141" s="170" t="str">
        <x:v>No joint pain; slight triceps sensation only after straight-arm work</x:v>
      </x:c>
      <x:c r="J141" s="170" t="str">
        <x:v>Low to medium final</x:v>
      </x:c>
      <x:c r="K141" s="170" t="str">
        <x:v>Good</x:v>
      </x:c>
      <x:c r="L141" s="170"/>
      <x:c r="M141" s="170" t="str">
        <x:v>Working</x:v>
      </x:c>
      <x:c r="N141" s="170" t="n">
        <x:v>2</x:v>
      </x:c>
    </x:row>
    <x:row r="142">
      <x:c r="A142" s="220" t="n">
        <x:v>46244</x:v>
      </x:c>
      <x:c r="B142" s="170" t="str">
        <x:v>Back</x:v>
      </x:c>
      <x:c r="C142" s="170" t="str">
        <x:v>Iso-Lateral High Row</x:v>
      </x:c>
      <x:c r="D142" s="170" t="n">
        <x:v>1</x:v>
      </x:c>
      <x:c r="E142" s="170" t="n">
        <x:v>10</x:v>
      </x:c>
      <x:c r="F142" s="170" t="str">
        <x:v>kg plates each side</x:v>
      </x:c>
      <x:c r="G142" s="170" t="n">
        <x:v>15</x:v>
      </x:c>
      <x:c r="H142" s="170" t="str">
        <x:v>Both sides matched</x:v>
      </x:c>
      <x:c r="I142" s="170" t="str">
        <x:v>No joint pain; slight triceps sensation only after straight-arm work</x:v>
      </x:c>
      <x:c r="J142" s="170" t="str">
        <x:v>Low to medium final</x:v>
      </x:c>
      <x:c r="K142" s="170" t="str">
        <x:v>Good</x:v>
      </x:c>
      <x:c r="L142" s="170"/>
      <x:c r="M142" s="170" t="str">
        <x:v>Working</x:v>
      </x:c>
      <x:c r="N142" s="170" t="n">
        <x:v>2</x:v>
      </x:c>
    </x:row>
    <x:row r="143">
      <x:c r="A143" s="220" t="n">
        <x:v>46244</x:v>
      </x:c>
      <x:c r="B143" s="170" t="str">
        <x:v>Back</x:v>
      </x:c>
      <x:c r="C143" s="170" t="str">
        <x:v>Iso-Lateral High Row</x:v>
      </x:c>
      <x:c r="D143" s="170" t="n">
        <x:v>2</x:v>
      </x:c>
      <x:c r="E143" s="170" t="n">
        <x:v>15</x:v>
      </x:c>
      <x:c r="F143" s="170" t="str">
        <x:v>kg plates each side</x:v>
      </x:c>
      <x:c r="G143" s="170" t="n">
        <x:v>12</x:v>
      </x:c>
      <x:c r="H143" s="170" t="str">
        <x:v>Both sides matched</x:v>
      </x:c>
      <x:c r="I143" s="170" t="str">
        <x:v>No joint pain; slight triceps sensation only after straight-arm work</x:v>
      </x:c>
      <x:c r="J143" s="170" t="str">
        <x:v>Low to medium final</x:v>
      </x:c>
      <x:c r="K143" s="170" t="str">
        <x:v>Good</x:v>
      </x:c>
      <x:c r="L143" s="170"/>
      <x:c r="M143" s="170" t="str">
        <x:v>Working</x:v>
      </x:c>
      <x:c r="N143" s="170" t="n">
        <x:v>2</x:v>
      </x:c>
    </x:row>
    <x:row r="144">
      <x:c r="A144" s="220" t="n">
        <x:v>46244</x:v>
      </x:c>
      <x:c r="B144" s="170" t="str">
        <x:v>Back</x:v>
      </x:c>
      <x:c r="C144" s="170" t="str">
        <x:v>Straight-Arm Pulldown</x:v>
      </x:c>
      <x:c r="D144" s="170" t="n">
        <x:v>1</x:v>
      </x:c>
      <x:c r="E144" s="170" t="n">
        <x:v>45</x:v>
      </x:c>
      <x:c r="F144" s="170" t="str">
        <x:v>kg total cable stack</x:v>
      </x:c>
      <x:c r="G144" s="170" t="n">
        <x:v>15</x:v>
      </x:c>
      <x:c r="H144" s="170" t="str">
        <x:v>Same cable machine; elbows fixed confirmed</x:v>
      </x:c>
      <x:c r="I144" s="170" t="str">
        <x:v>No joint pain; slight triceps sensation only after straight-arm work</x:v>
      </x:c>
      <x:c r="J144" s="170" t="str">
        <x:v>Low to medium final</x:v>
      </x:c>
      <x:c r="K144" s="170" t="str">
        <x:v>Good</x:v>
      </x:c>
      <x:c r="L144" s="170"/>
      <x:c r="M144" s="170" t="str">
        <x:v>Working</x:v>
      </x:c>
      <x:c r="N144" s="170" t="n">
        <x:v>2</x:v>
      </x:c>
    </x:row>
    <x:row r="145">
      <x:c r="A145" s="220" t="n">
        <x:v>46244</x:v>
      </x:c>
      <x:c r="B145" s="170" t="str">
        <x:v>Back</x:v>
      </x:c>
      <x:c r="C145" s="170" t="str">
        <x:v>Straight-Arm Pulldown</x:v>
      </x:c>
      <x:c r="D145" s="170" t="n">
        <x:v>2</x:v>
      </x:c>
      <x:c r="E145" s="170" t="n">
        <x:v>50</x:v>
      </x:c>
      <x:c r="F145" s="170" t="str">
        <x:v>kg total cable stack</x:v>
      </x:c>
      <x:c r="G145" s="170" t="n">
        <x:v>12</x:v>
      </x:c>
      <x:c r="H145" s="170" t="str">
        <x:v>Same cable machine; elbows fixed confirmed</x:v>
      </x:c>
      <x:c r="I145" s="170" t="str">
        <x:v>No joint pain; slight triceps sensation only after straight-arm work</x:v>
      </x:c>
      <x:c r="J145" s="170" t="str">
        <x:v>Low to medium final</x:v>
      </x:c>
      <x:c r="K145" s="170" t="str">
        <x:v>Good</x:v>
      </x:c>
      <x:c r="L145" s="170"/>
      <x:c r="M145" s="170" t="str">
        <x:v>Working</x:v>
      </x:c>
      <x:c r="N145" s="170" t="n">
        <x:v>1</x:v>
      </x:c>
    </x:row>
    <x:row r="146">
      <x:c r="A146" s="220" t="n">
        <x:v>46244</x:v>
      </x:c>
      <x:c r="B146" s="170" t="str">
        <x:v>Back</x:v>
      </x:c>
      <x:c r="C146" s="170" t="str">
        <x:v>Straight-Arm Pulldown</x:v>
      </x:c>
      <x:c r="D146" s="170" t="n">
        <x:v>3</x:v>
      </x:c>
      <x:c r="E146" s="170" t="n">
        <x:v>55</x:v>
      </x:c>
      <x:c r="F146" s="170" t="str">
        <x:v>kg total cable stack</x:v>
      </x:c>
      <x:c r="G146" s="170" t="n">
        <x:v>9</x:v>
      </x:c>
      <x:c r="H146" s="170" t="str">
        <x:v>Same machine; slight triceps sensation after session, not pain</x:v>
      </x:c>
      <x:c r="I146" s="170" t="str">
        <x:v>No joint pain; slight triceps sensation only after straight-arm work</x:v>
      </x:c>
      <x:c r="J146" s="170" t="str">
        <x:v>Low to medium final</x:v>
      </x:c>
      <x:c r="K146" s="170" t="str">
        <x:v>Good</x:v>
      </x:c>
      <x:c r="L146" s="170"/>
      <x:c r="M146" s="170" t="str">
        <x:v>Working</x:v>
      </x:c>
      <x:c r="N146" s="170" t="n">
        <x:v>1</x:v>
      </x:c>
    </x:row>
    <x:row r="147">
      <x:c r="A147" s="220" t="n">
        <x:v>46244</x:v>
      </x:c>
      <x:c r="B147" s="170" t="str">
        <x:v>Back</x:v>
      </x:c>
      <x:c r="C147" s="170" t="str">
        <x:v>Hyperextension</x:v>
      </x:c>
      <x:c r="D147" s="170" t="n">
        <x:v>1</x:v>
      </x:c>
      <x:c r="E147" s="170" t="str">
        <x:v>Body weight</x:v>
      </x:c>
      <x:c r="F147" s="170" t="str">
        <x:v>body weight</x:v>
      </x:c>
      <x:c r="G147" s="170" t="n">
        <x:v>15</x:v>
      </x:c>
      <x:c r="H147" s="170" t="str">
        <x:v>Controlled range detail To verify</x:v>
      </x:c>
      <x:c r="I147" s="170" t="str">
        <x:v>No joint pain; slight triceps sensation only after straight-arm work</x:v>
      </x:c>
      <x:c r="J147" s="170" t="str">
        <x:v>Low to medium final</x:v>
      </x:c>
      <x:c r="K147" s="170" t="str">
        <x:v>Good</x:v>
      </x:c>
      <x:c r="L147" s="170"/>
      <x:c r="M147" s="170" t="str">
        <x:v>Working</x:v>
      </x:c>
      <x:c r="N147" s="170" t="n">
        <x:v>3</x:v>
      </x:c>
    </x:row>
    <x:row r="148">
      <x:c r="A148" s="220" t="n">
        <x:v>46244</x:v>
      </x:c>
      <x:c r="B148" s="170" t="str">
        <x:v>Back</x:v>
      </x:c>
      <x:c r="C148" s="170" t="str">
        <x:v>Hyperextension</x:v>
      </x:c>
      <x:c r="D148" s="170" t="n">
        <x:v>2</x:v>
      </x:c>
      <x:c r="E148" s="170" t="str">
        <x:v>Body weight + 10</x:v>
      </x:c>
      <x:c r="F148" s="170" t="str">
        <x:v>kg plate held</x:v>
      </x:c>
      <x:c r="G148" s="170" t="n">
        <x:v>15</x:v>
      </x:c>
      <x:c r="H148" s="170" t="str">
        <x:v>No lower-back pain or pump</x:v>
      </x:c>
      <x:c r="I148" s="170" t="str">
        <x:v>No joint pain; slight triceps sensation only after straight-arm work</x:v>
      </x:c>
      <x:c r="J148" s="170" t="str">
        <x:v>Low to medium final</x:v>
      </x:c>
      <x:c r="K148" s="170" t="str">
        <x:v>Good</x:v>
      </x:c>
      <x:c r="L148" s="170"/>
      <x:c r="M148" s="170" t="str">
        <x:v>Working</x:v>
      </x:c>
      <x:c r="N148" s="170" t="n">
        <x:v>1</x:v>
      </x:c>
    </x:row>
    <x:row r="149">
      <x:c r="A149" s="220" t="n">
        <x:v>46244</x:v>
      </x:c>
      <x:c r="B149" s="170" t="str">
        <x:v>Back</x:v>
      </x:c>
      <x:c r="C149" s="170" t="str">
        <x:v>Hyperextension</x:v>
      </x:c>
      <x:c r="D149" s="170" t="n">
        <x:v>3</x:v>
      </x:c>
      <x:c r="E149" s="170" t="str">
        <x:v>Body weight + 15</x:v>
      </x:c>
      <x:c r="F149" s="170" t="str">
        <x:v>kg plate held</x:v>
      </x:c>
      <x:c r="G149" s="170" t="n">
        <x:v>12</x:v>
      </x:c>
      <x:c r="H149" s="170" t="str">
        <x:v>No lower-back pain or pump</x:v>
      </x:c>
      <x:c r="I149" s="170" t="str">
        <x:v>No joint pain; slight triceps sensation only after straight-arm work</x:v>
      </x:c>
      <x:c r="J149" s="170" t="str">
        <x:v>Low to medium final</x:v>
      </x:c>
      <x:c r="K149" s="170" t="str">
        <x:v>Good</x:v>
      </x:c>
      <x:c r="L149" s="170"/>
      <x:c r="M149" s="170" t="str">
        <x:v>Working</x:v>
      </x:c>
      <x:c r="N149" s="170" t="n">
        <x:v>1</x:v>
      </x:c>
    </x:row>
    <x:row r="150">
      <x:c r="A150" s="220" t="n">
        <x:v>46245</x:v>
      </x:c>
      <x:c r="B150" s="170" t="str">
        <x:v>Chest</x:v>
      </x:c>
      <x:c r="C150" s="170" t="str">
        <x:v>Flat Bench Press</x:v>
      </x:c>
      <x:c r="D150" s="170" t="n">
        <x:v>1</x:v>
      </x:c>
      <x:c r="E150" s="170" t="n">
        <x:v>15</x:v>
      </x:c>
      <x:c r="F150" s="170" t="str">
        <x:v>kg plates each side; bar excluded</x:v>
      </x:c>
      <x:c r="G150" s="170" t="n">
        <x:v>13</x:v>
      </x:c>
      <x:c r="H150" s="170" t="str">
        <x:v>Stimulating set, not a true warm-up</x:v>
      </x:c>
      <x:c r="I150" s="170" t="str">
        <x:v>No shoulder, chest, elbow or triceps pain</x:v>
      </x:c>
      <x:c r="J150" s="170" t="str">
        <x:v>Low final</x:v>
      </x:c>
      <x:c r="K150" s="170" t="str">
        <x:v>Good</x:v>
      </x:c>
      <x:c r="L150" s="170" t="str">
        <x:v>Low energy limited load progression; final incline rep nearly assisted</x:v>
      </x:c>
      <x:c r="M150" s="170" t="str">
        <x:v>Working</x:v>
      </x:c>
      <x:c r="N150" s="170" t="n">
        <x:v>2</x:v>
      </x:c>
    </x:row>
    <x:row r="151">
      <x:c r="A151" s="220" t="n">
        <x:v>46245</x:v>
      </x:c>
      <x:c r="B151" s="170" t="str">
        <x:v>Chest</x:v>
      </x:c>
      <x:c r="C151" s="170" t="str">
        <x:v>Flat Bench Press</x:v>
      </x:c>
      <x:c r="D151" s="170" t="n">
        <x:v>2</x:v>
      </x:c>
      <x:c r="E151" s="170" t="n">
        <x:v>17.5</x:v>
      </x:c>
      <x:c r="F151" s="170" t="str">
        <x:v>kg plates each side; bar excluded</x:v>
      </x:c>
      <x:c r="G151" s="170" t="n">
        <x:v>12</x:v>
      </x:c>
      <x:c r="H151" s="170" t="str">
        <x:v>Shoulder blades set To verify</x:v>
      </x:c>
      <x:c r="I151" s="170" t="str">
        <x:v>No shoulder, chest, elbow or triceps pain</x:v>
      </x:c>
      <x:c r="J151" s="170" t="str">
        <x:v>Low final</x:v>
      </x:c>
      <x:c r="K151" s="170" t="str">
        <x:v>Good</x:v>
      </x:c>
      <x:c r="L151" s="170" t="str">
        <x:v>Low energy limited load progression; final incline rep nearly assisted</x:v>
      </x:c>
      <x:c r="M151" s="170" t="str">
        <x:v>Working</x:v>
      </x:c>
      <x:c r="N151" s="170" t="n">
        <x:v>1</x:v>
      </x:c>
    </x:row>
    <x:row r="152">
      <x:c r="A152" s="220" t="n">
        <x:v>46245</x:v>
      </x:c>
      <x:c r="B152" s="170" t="str">
        <x:v>Chest</x:v>
      </x:c>
      <x:c r="C152" s="170" t="str">
        <x:v>Flat Bench Press</x:v>
      </x:c>
      <x:c r="D152" s="170" t="n">
        <x:v>3</x:v>
      </x:c>
      <x:c r="E152" s="170" t="n">
        <x:v>20</x:v>
      </x:c>
      <x:c r="F152" s="170" t="str">
        <x:v>kg plates each side; bar excluded</x:v>
      </x:c>
      <x:c r="G152" s="170" t="n">
        <x:v>9</x:v>
      </x:c>
      <x:c r="H152" s="170" t="str">
        <x:v>Shoulder blades set To verify</x:v>
      </x:c>
      <x:c r="I152" s="170" t="str">
        <x:v>No shoulder, chest, elbow or triceps pain</x:v>
      </x:c>
      <x:c r="J152" s="170" t="str">
        <x:v>Low final</x:v>
      </x:c>
      <x:c r="K152" s="170" t="str">
        <x:v>Good</x:v>
      </x:c>
      <x:c r="L152" s="170" t="str">
        <x:v>Low energy limited load progression; final incline rep nearly assisted</x:v>
      </x:c>
      <x:c r="M152" s="170" t="str">
        <x:v>Working</x:v>
      </x:c>
      <x:c r="N152" s="170" t="n">
        <x:v>1</x:v>
      </x:c>
    </x:row>
    <x:row r="153">
      <x:c r="A153" s="220" t="n">
        <x:v>46245</x:v>
      </x:c>
      <x:c r="B153" s="170" t="str">
        <x:v>Chest</x:v>
      </x:c>
      <x:c r="C153" s="170" t="str">
        <x:v>Flat Bench Press</x:v>
      </x:c>
      <x:c r="D153" s="170" t="n">
        <x:v>4</x:v>
      </x:c>
      <x:c r="E153" s="170" t="n">
        <x:v>22.5</x:v>
      </x:c>
      <x:c r="F153" s="170" t="str">
        <x:v>kg plates each side; bar excluded</x:v>
      </x:c>
      <x:c r="G153" s="170" t="n">
        <x:v>7</x:v>
      </x:c>
      <x:c r="H153" s="170" t="str">
        <x:v>Progressed from 6 to 7 reps</x:v>
      </x:c>
      <x:c r="I153" s="170" t="str">
        <x:v>No shoulder, chest, elbow or triceps pain</x:v>
      </x:c>
      <x:c r="J153" s="170" t="str">
        <x:v>Low final</x:v>
      </x:c>
      <x:c r="K153" s="170" t="str">
        <x:v>Good</x:v>
      </x:c>
      <x:c r="L153" s="170" t="str">
        <x:v>Low energy limited load progression; final incline rep nearly assisted</x:v>
      </x:c>
      <x:c r="M153" s="170" t="str">
        <x:v>Working</x:v>
      </x:c>
      <x:c r="N153" s="170" t="n">
        <x:v>1</x:v>
      </x:c>
    </x:row>
    <x:row r="154">
      <x:c r="A154" s="220" t="n">
        <x:v>46245</x:v>
      </x:c>
      <x:c r="B154" s="170" t="str">
        <x:v>Chest</x:v>
      </x:c>
      <x:c r="C154" s="170" t="str">
        <x:v>Plate Chest Press</x:v>
      </x:c>
      <x:c r="D154" s="170" t="n">
        <x:v>1</x:v>
      </x:c>
      <x:c r="E154" s="170" t="n">
        <x:v>30</x:v>
      </x:c>
      <x:c r="F154" s="170" t="str">
        <x:v>kg plates each side</x:v>
      </x:c>
      <x:c r="G154" s="170" t="n">
        <x:v>13</x:v>
      </x:c>
      <x:c r="H154" s="170" t="str">
        <x:v>Same machine assumed; To verify if machine changed</x:v>
      </x:c>
      <x:c r="I154" s="170" t="str">
        <x:v>No shoulder, chest, elbow or triceps pain</x:v>
      </x:c>
      <x:c r="J154" s="170" t="str">
        <x:v>Low final</x:v>
      </x:c>
      <x:c r="K154" s="170" t="str">
        <x:v>Good</x:v>
      </x:c>
      <x:c r="L154" s="170" t="str">
        <x:v>Low energy limited load progression; final incline rep nearly assisted</x:v>
      </x:c>
      <x:c r="M154" s="170" t="str">
        <x:v>Working</x:v>
      </x:c>
      <x:c r="N154" s="170" t="n">
        <x:v>1</x:v>
      </x:c>
    </x:row>
    <x:row r="155">
      <x:c r="A155" s="220" t="n">
        <x:v>46245</x:v>
      </x:c>
      <x:c r="B155" s="170" t="str">
        <x:v>Chest</x:v>
      </x:c>
      <x:c r="C155" s="170" t="str">
        <x:v>Plate Chest Press</x:v>
      </x:c>
      <x:c r="D155" s="170" t="n">
        <x:v>2</x:v>
      </x:c>
      <x:c r="E155" s="170" t="n">
        <x:v>40</x:v>
      </x:c>
      <x:c r="F155" s="170" t="str">
        <x:v>kg plates each side</x:v>
      </x:c>
      <x:c r="G155" s="170" t="n">
        <x:v>10</x:v>
      </x:c>
      <x:c r="H155" s="170" t="str">
        <x:v>Controlled eccentric To verify</x:v>
      </x:c>
      <x:c r="I155" s="170" t="str">
        <x:v>No shoulder, chest, elbow or triceps pain</x:v>
      </x:c>
      <x:c r="J155" s="170" t="str">
        <x:v>Low final</x:v>
      </x:c>
      <x:c r="K155" s="170" t="str">
        <x:v>Good</x:v>
      </x:c>
      <x:c r="L155" s="170" t="str">
        <x:v>Low energy limited load progression; final incline rep nearly assisted</x:v>
      </x:c>
      <x:c r="M155" s="170" t="str">
        <x:v>Working</x:v>
      </x:c>
      <x:c r="N155" s="170" t="n">
        <x:v>1</x:v>
      </x:c>
    </x:row>
    <x:row r="156">
      <x:c r="A156" s="220" t="n">
        <x:v>46245</x:v>
      </x:c>
      <x:c r="B156" s="170" t="str">
        <x:v>Chest</x:v>
      </x:c>
      <x:c r="C156" s="170" t="str">
        <x:v>Plate Chest Press</x:v>
      </x:c>
      <x:c r="D156" s="170" t="n">
        <x:v>3</x:v>
      </x:c>
      <x:c r="E156" s="170" t="n">
        <x:v>40</x:v>
      </x:c>
      <x:c r="F156" s="170" t="str">
        <x:v>kg plates each side</x:v>
      </x:c>
      <x:c r="G156" s="170" t="n">
        <x:v>9</x:v>
      </x:c>
      <x:c r="H156" s="170" t="str">
        <x:v>Controlled eccentric To verify</x:v>
      </x:c>
      <x:c r="I156" s="170" t="str">
        <x:v>No shoulder, chest, elbow or triceps pain</x:v>
      </x:c>
      <x:c r="J156" s="170" t="str">
        <x:v>Low final</x:v>
      </x:c>
      <x:c r="K156" s="170" t="str">
        <x:v>Good</x:v>
      </x:c>
      <x:c r="L156" s="170" t="str">
        <x:v>Low energy limited load progression; final incline rep nearly assisted</x:v>
      </x:c>
      <x:c r="M156" s="170" t="str">
        <x:v>Working</x:v>
      </x:c>
      <x:c r="N156" s="170" t="n">
        <x:v>1</x:v>
      </x:c>
    </x:row>
    <x:row r="157">
      <x:c r="A157" s="220" t="n">
        <x:v>46245</x:v>
      </x:c>
      <x:c r="B157" s="170" t="str">
        <x:v>Chest</x:v>
      </x:c>
      <x:c r="C157" s="170" t="str">
        <x:v>Incline Barbell Bench Press</x:v>
      </x:c>
      <x:c r="D157" s="170" t="n">
        <x:v>1</x:v>
      </x:c>
      <x:c r="E157" s="170" t="n">
        <x:v>10</x:v>
      </x:c>
      <x:c r="F157" s="170" t="str">
        <x:v>kg plates each side; bar excluded</x:v>
      </x:c>
      <x:c r="G157" s="170" t="n">
        <x:v>15</x:v>
      </x:c>
      <x:c r="H157" s="170" t="str">
        <x:v>New baseline</x:v>
      </x:c>
      <x:c r="I157" s="170" t="str">
        <x:v>No shoulder, chest, elbow or triceps pain</x:v>
      </x:c>
      <x:c r="J157" s="170" t="str">
        <x:v>Low final</x:v>
      </x:c>
      <x:c r="K157" s="170" t="str">
        <x:v>Good</x:v>
      </x:c>
      <x:c r="L157" s="170" t="str">
        <x:v>Low energy limited load progression; final incline rep nearly assisted</x:v>
      </x:c>
      <x:c r="M157" s="170" t="str">
        <x:v>Working</x:v>
      </x:c>
      <x:c r="N157" s="170" t="n">
        <x:v>1</x:v>
      </x:c>
    </x:row>
    <x:row r="158">
      <x:c r="A158" s="220" t="n">
        <x:v>46245</x:v>
      </x:c>
      <x:c r="B158" s="170" t="str">
        <x:v>Chest</x:v>
      </x:c>
      <x:c r="C158" s="170" t="str">
        <x:v>Incline Barbell Bench Press</x:v>
      </x:c>
      <x:c r="D158" s="170" t="n">
        <x:v>2</x:v>
      </x:c>
      <x:c r="E158" s="170" t="n">
        <x:v>12.5</x:v>
      </x:c>
      <x:c r="F158" s="170" t="str">
        <x:v>kg plates each side; bar excluded</x:v>
      </x:c>
      <x:c r="G158" s="170" t="n">
        <x:v>12</x:v>
      </x:c>
      <x:c r="H158" s="170" t="str">
        <x:v>New baseline</x:v>
      </x:c>
      <x:c r="I158" s="170" t="str">
        <x:v>No shoulder, chest, elbow or triceps pain</x:v>
      </x:c>
      <x:c r="J158" s="170" t="str">
        <x:v>Low final</x:v>
      </x:c>
      <x:c r="K158" s="170" t="str">
        <x:v>Good</x:v>
      </x:c>
      <x:c r="L158" s="170" t="str">
        <x:v>Low energy limited load progression; final incline rep nearly assisted</x:v>
      </x:c>
      <x:c r="M158" s="170" t="str">
        <x:v>Working</x:v>
      </x:c>
      <x:c r="N158" s="170" t="n">
        <x:v>1</x:v>
      </x:c>
    </x:row>
    <x:row r="159">
      <x:c r="A159" s="220" t="n">
        <x:v>46245</x:v>
      </x:c>
      <x:c r="B159" s="170" t="str">
        <x:v>Chest</x:v>
      </x:c>
      <x:c r="C159" s="170" t="str">
        <x:v>Incline Barbell Bench Press</x:v>
      </x:c>
      <x:c r="D159" s="170" t="n">
        <x:v>3</x:v>
      </x:c>
      <x:c r="E159" s="170" t="n">
        <x:v>15</x:v>
      </x:c>
      <x:c r="F159" s="170" t="str">
        <x:v>kg plates each side; bar excluded</x:v>
      </x:c>
      <x:c r="G159" s="170" t="n">
        <x:v>8</x:v>
      </x:c>
      <x:c r="H159" s="170" t="str">
        <x:v>Last rep nearly assisted; not counted as clean progression</x:v>
      </x:c>
      <x:c r="I159" s="170" t="str">
        <x:v>No shoulder, chest, elbow or triceps pain</x:v>
      </x:c>
      <x:c r="J159" s="170" t="str">
        <x:v>Low final</x:v>
      </x:c>
      <x:c r="K159" s="170" t="str">
        <x:v>Good</x:v>
      </x:c>
      <x:c r="L159" s="170" t="str">
        <x:v>Low energy limited load progression; final incline rep nearly assisted</x:v>
      </x:c>
      <x:c r="M159" s="170" t="str">
        <x:v>Working</x:v>
      </x:c>
      <x:c r="N159" s="170" t="n">
        <x:v>1</x:v>
      </x:c>
    </x:row>
    <x:row r="160">
      <x:c r="A160" s="220" t="n">
        <x:v>46245</x:v>
      </x:c>
      <x:c r="B160" s="170" t="str">
        <x:v>Chest</x:v>
      </x:c>
      <x:c r="C160" s="170" t="str">
        <x:v>Pec Deck Fly</x:v>
      </x:c>
      <x:c r="D160" s="170" t="n">
        <x:v>1</x:v>
      </x:c>
      <x:c r="E160" s="170" t="n">
        <x:v>45</x:v>
      </x:c>
      <x:c r="F160" s="170" t="str">
        <x:v>kg total machine stack</x:v>
      </x:c>
      <x:c r="G160" s="170" t="n">
        <x:v>15</x:v>
      </x:c>
      <x:c r="H160" s="170" t="str">
        <x:v>RIR 1 confirmed for the exercise</x:v>
      </x:c>
      <x:c r="I160" s="170" t="str">
        <x:v>No shoulder, chest, elbow or triceps pain</x:v>
      </x:c>
      <x:c r="J160" s="170" t="str">
        <x:v>Low final</x:v>
      </x:c>
      <x:c r="K160" s="170" t="str">
        <x:v>Good</x:v>
      </x:c>
      <x:c r="L160" s="170" t="str">
        <x:v>Low energy limited load progression; final incline rep nearly assisted</x:v>
      </x:c>
      <x:c r="M160" s="170" t="str">
        <x:v>Working</x:v>
      </x:c>
      <x:c r="N160" s="170" t="n">
        <x:v>1</x:v>
      </x:c>
    </x:row>
    <x:row r="161">
      <x:c r="A161" s="220" t="n">
        <x:v>46245</x:v>
      </x:c>
      <x:c r="B161" s="170" t="str">
        <x:v>Chest</x:v>
      </x:c>
      <x:c r="C161" s="170" t="str">
        <x:v>Pec Deck Fly</x:v>
      </x:c>
      <x:c r="D161" s="170" t="n">
        <x:v>2</x:v>
      </x:c>
      <x:c r="E161" s="170" t="n">
        <x:v>50</x:v>
      </x:c>
      <x:c r="F161" s="170" t="str">
        <x:v>kg total machine stack</x:v>
      </x:c>
      <x:c r="G161" s="170" t="n">
        <x:v>12</x:v>
      </x:c>
      <x:c r="H161" s="170" t="str">
        <x:v>RIR 1 confirmed for the exercise</x:v>
      </x:c>
      <x:c r="I161" s="170" t="str">
        <x:v>No shoulder, chest, elbow or triceps pain</x:v>
      </x:c>
      <x:c r="J161" s="170" t="str">
        <x:v>Low final</x:v>
      </x:c>
      <x:c r="K161" s="170" t="str">
        <x:v>Good</x:v>
      </x:c>
      <x:c r="L161" s="170" t="str">
        <x:v>Low energy limited load progression; final incline rep nearly assisted</x:v>
      </x:c>
      <x:c r="M161" s="170" t="str">
        <x:v>Working</x:v>
      </x:c>
      <x:c r="N161" s="170" t="n">
        <x:v>1</x:v>
      </x:c>
    </x:row>
    <x:row r="162">
      <x:c r="A162" s="220" t="n">
        <x:v>46245</x:v>
      </x:c>
      <x:c r="B162" s="170" t="str">
        <x:v>Chest</x:v>
      </x:c>
      <x:c r="C162" s="170" t="str">
        <x:v>Pec Deck Fly</x:v>
      </x:c>
      <x:c r="D162" s="170" t="n">
        <x:v>3</x:v>
      </x:c>
      <x:c r="E162" s="170" t="n">
        <x:v>55</x:v>
      </x:c>
      <x:c r="F162" s="170" t="str">
        <x:v>kg total machine stack</x:v>
      </x:c>
      <x:c r="G162" s="170" t="n">
        <x:v>11</x:v>
      </x:c>
      <x:c r="H162" s="170" t="str">
        <x:v>Progressed from 10 to 11 reps</x:v>
      </x:c>
      <x:c r="I162" s="170" t="str">
        <x:v>No shoulder, chest, elbow or triceps pain</x:v>
      </x:c>
      <x:c r="J162" s="170" t="str">
        <x:v>Low final</x:v>
      </x:c>
      <x:c r="K162" s="170" t="str">
        <x:v>Good</x:v>
      </x:c>
      <x:c r="L162" s="170" t="str">
        <x:v>Low energy limited load progression; final incline rep nearly assisted</x:v>
      </x:c>
      <x:c r="M162" s="170" t="str">
        <x:v>Working</x:v>
      </x:c>
      <x:c r="N162" s="170" t="n">
        <x:v>1</x:v>
      </x:c>
    </x:row>
    <x:row r="163">
      <x:c r="A163" s="220" t="n">
        <x:v>46245</x:v>
      </x:c>
      <x:c r="B163" s="170" t="str">
        <x:v>Chest</x:v>
      </x:c>
      <x:c r="C163" s="170" t="str">
        <x:v>Cable Fly</x:v>
      </x:c>
      <x:c r="D163" s="170" t="n">
        <x:v>1</x:v>
      </x:c>
      <x:c r="E163" s="170" t="n">
        <x:v>15</x:v>
      </x:c>
      <x:c r="F163" s="170" t="str">
        <x:v>kg each side</x:v>
      </x:c>
      <x:c r="G163" s="170" t="n">
        <x:v>20</x:v>
      </x:c>
      <x:c r="H163" s="170" t="str">
        <x:v>Conventional horizontal path; clean form confirmed</x:v>
      </x:c>
      <x:c r="I163" s="170" t="str">
        <x:v>No shoulder, chest, elbow or triceps pain</x:v>
      </x:c>
      <x:c r="J163" s="170" t="str">
        <x:v>Low final</x:v>
      </x:c>
      <x:c r="K163" s="170" t="str">
        <x:v>Good</x:v>
      </x:c>
      <x:c r="L163" s="170" t="str">
        <x:v>Low energy limited load progression; final incline rep nearly assisted</x:v>
      </x:c>
      <x:c r="M163" s="170" t="str">
        <x:v>Working</x:v>
      </x:c>
      <x:c r="N163" s="170" t="n">
        <x:v>2</x:v>
      </x:c>
    </x:row>
    <x:row r="164">
      <x:c r="A164" s="220" t="n">
        <x:v>46245</x:v>
      </x:c>
      <x:c r="B164" s="170" t="str">
        <x:v>Chest</x:v>
      </x:c>
      <x:c r="C164" s="170" t="str">
        <x:v>Cable Fly</x:v>
      </x:c>
      <x:c r="D164" s="170" t="n">
        <x:v>2</x:v>
      </x:c>
      <x:c r="E164" s="170" t="n">
        <x:v>20</x:v>
      </x:c>
      <x:c r="F164" s="170" t="str">
        <x:v>kg each side</x:v>
      </x:c>
      <x:c r="G164" s="170" t="n">
        <x:v>15</x:v>
      </x:c>
      <x:c r="H164" s="170" t="str">
        <x:v>Conventional horizontal path; clean form confirmed</x:v>
      </x:c>
      <x:c r="I164" s="170" t="str">
        <x:v>No shoulder, chest, elbow or triceps pain</x:v>
      </x:c>
      <x:c r="J164" s="170" t="str">
        <x:v>Low final</x:v>
      </x:c>
      <x:c r="K164" s="170" t="str">
        <x:v>Good</x:v>
      </x:c>
      <x:c r="L164" s="170" t="str">
        <x:v>Low energy limited load progression; final incline rep nearly assisted</x:v>
      </x:c>
      <x:c r="M164" s="170" t="str">
        <x:v>Working</x:v>
      </x:c>
      <x:c r="N164" s="170" t="n">
        <x:v>2</x:v>
      </x:c>
    </x:row>
    <x:row r="165">
      <x:c r="A165" s="220" t="n">
        <x:v>46245</x:v>
      </x:c>
      <x:c r="B165" s="170" t="str">
        <x:v>Chest</x:v>
      </x:c>
      <x:c r="C165" s="170" t="str">
        <x:v>Cable Fly</x:v>
      </x:c>
      <x:c r="D165" s="170" t="n">
        <x:v>3</x:v>
      </x:c>
      <x:c r="E165" s="170" t="n">
        <x:v>25</x:v>
      </x:c>
      <x:c r="F165" s="170" t="str">
        <x:v>kg each side</x:v>
      </x:c>
      <x:c r="G165" s="170" t="n">
        <x:v>10</x:v>
      </x:c>
      <x:c r="H165" s="170" t="str">
        <x:v>Conventional horizontal path; clean form confirmed</x:v>
      </x:c>
      <x:c r="I165" s="170" t="str">
        <x:v>No shoulder, chest, elbow or triceps pain</x:v>
      </x:c>
      <x:c r="J165" s="170" t="str">
        <x:v>Low final</x:v>
      </x:c>
      <x:c r="K165" s="170" t="str">
        <x:v>Good</x:v>
      </x:c>
      <x:c r="L165" s="170" t="str">
        <x:v>Low energy limited load progression; final incline rep nearly assisted</x:v>
      </x:c>
      <x:c r="M165" s="170" t="str">
        <x:v>Working</x:v>
      </x:c>
      <x:c r="N165" s="170" t="n">
        <x:v>2</x:v>
      </x:c>
    </x:row>
    <x:row r="166">
      <x:c r="A166" s="220" t="n">
        <x:v>46245</x:v>
      </x:c>
      <x:c r="B166" s="170" t="str">
        <x:v>Chest</x:v>
      </x:c>
      <x:c r="C166" s="170" t="str">
        <x:v>Low-to-High Cable Fly</x:v>
      </x:c>
      <x:c r="D166" s="170" t="n">
        <x:v>1</x:v>
      </x:c>
      <x:c r="E166" s="170" t="n">
        <x:v>5</x:v>
      </x:c>
      <x:c r="F166" s="170" t="str">
        <x:v>kg each side</x:v>
      </x:c>
      <x:c r="G166" s="170" t="n">
        <x:v>20</x:v>
      </x:c>
      <x:c r="H166" s="170" t="str">
        <x:v>Low pulleys; arms move upward; keep soft elbow bend</x:v>
      </x:c>
      <x:c r="I166" s="170" t="str">
        <x:v>No shoulder, chest, elbow or triceps pain</x:v>
      </x:c>
      <x:c r="J166" s="170" t="str">
        <x:v>Low final</x:v>
      </x:c>
      <x:c r="K166" s="170" t="str">
        <x:v>Good</x:v>
      </x:c>
      <x:c r="L166" s="170" t="str">
        <x:v>Low energy limited load progression; final incline rep nearly assisted</x:v>
      </x:c>
      <x:c r="M166" s="170" t="str">
        <x:v>Working</x:v>
      </x:c>
      <x:c r="N166" s="170" t="n">
        <x:v>3</x:v>
      </x:c>
    </x:row>
    <x:row r="167">
      <x:c r="A167" s="220" t="n">
        <x:v>46245</x:v>
      </x:c>
      <x:c r="B167" s="170" t="str">
        <x:v>Chest</x:v>
      </x:c>
      <x:c r="C167" s="170" t="str">
        <x:v>Low-to-High Cable Fly</x:v>
      </x:c>
      <x:c r="D167" s="170" t="n">
        <x:v>2</x:v>
      </x:c>
      <x:c r="E167" s="170" t="n">
        <x:v>10</x:v>
      </x:c>
      <x:c r="F167" s="170" t="str">
        <x:v>kg each side</x:v>
      </x:c>
      <x:c r="G167" s="170" t="n">
        <x:v>15</x:v>
      </x:c>
      <x:c r="H167" s="170" t="str">
        <x:v>Low pulleys; arms move upward; keep soft elbow bend</x:v>
      </x:c>
      <x:c r="I167" s="170" t="str">
        <x:v>No shoulder, chest, elbow or triceps pain</x:v>
      </x:c>
      <x:c r="J167" s="170" t="str">
        <x:v>Low final</x:v>
      </x:c>
      <x:c r="K167" s="170" t="str">
        <x:v>Good</x:v>
      </x:c>
      <x:c r="L167" s="170" t="str">
        <x:v>Low energy limited load progression; final incline rep nearly assisted</x:v>
      </x:c>
      <x:c r="M167" s="170" t="str">
        <x:v>Working</x:v>
      </x:c>
      <x:c r="N167" s="170" t="n">
        <x:v>3</x:v>
      </x:c>
    </x:row>
    <x:row r="168">
      <x:c r="A168" s="220" t="n">
        <x:v>46246</x:v>
      </x:c>
      <x:c r="B168" s="170" t="str">
        <x:v>Biceps</x:v>
      </x:c>
      <x:c r="C168" s="170" t="str">
        <x:v>Straight Bar Curl</x:v>
      </x:c>
      <x:c r="D168" s="170" t="n">
        <x:v>1</x:v>
      </x:c>
      <x:c r="E168" s="170" t="n">
        <x:v>7.5</x:v>
      </x:c>
      <x:c r="F168" s="170" t="str">
        <x:v>kg plates each side; bar excluded</x:v>
      </x:c>
      <x:c r="G168" s="170" t="n">
        <x:v>15</x:v>
      </x:c>
      <x:c r="H168" s="170" t="str">
        <x:v>Clean-form detail To verify</x:v>
      </x:c>
      <x:c r="I168" s="170" t="str">
        <x:v>No elbow, wrist, shoulder or biceps pain</x:v>
      </x:c>
      <x:c r="J168" s="170" t="str">
        <x:v>Low final</x:v>
      </x:c>
      <x:c r="K168" s="170" t="str">
        <x:v>Good</x:v>
      </x:c>
      <x:c r="L168" s="170"/>
      <x:c r="M168" s="170" t="str">
        <x:v>Working</x:v>
      </x:c>
      <x:c r="N168" s="170" t="n">
        <x:v>1</x:v>
      </x:c>
    </x:row>
    <x:row r="169">
      <x:c r="A169" s="220" t="n">
        <x:v>46246</x:v>
      </x:c>
      <x:c r="B169" s="170" t="str">
        <x:v>Biceps</x:v>
      </x:c>
      <x:c r="C169" s="170" t="str">
        <x:v>Straight Bar Curl</x:v>
      </x:c>
      <x:c r="D169" s="170" t="n">
        <x:v>2</x:v>
      </x:c>
      <x:c r="E169" s="170" t="n">
        <x:v>10</x:v>
      </x:c>
      <x:c r="F169" s="170" t="str">
        <x:v>kg plates each side; bar excluded</x:v>
      </x:c>
      <x:c r="G169" s="170" t="n">
        <x:v>12</x:v>
      </x:c>
      <x:c r="H169" s="170" t="str">
        <x:v>Clean-form detail To verify</x:v>
      </x:c>
      <x:c r="I169" s="170" t="str">
        <x:v>No elbow, wrist, shoulder or biceps pain</x:v>
      </x:c>
      <x:c r="J169" s="170" t="str">
        <x:v>Low final</x:v>
      </x:c>
      <x:c r="K169" s="170" t="str">
        <x:v>Good</x:v>
      </x:c>
      <x:c r="L169" s="170"/>
      <x:c r="M169" s="170" t="str">
        <x:v>Working</x:v>
      </x:c>
      <x:c r="N169" s="170" t="n">
        <x:v>1</x:v>
      </x:c>
    </x:row>
    <x:row r="170">
      <x:c r="A170" s="220" t="n">
        <x:v>46246</x:v>
      </x:c>
      <x:c r="B170" s="170" t="str">
        <x:v>Biceps</x:v>
      </x:c>
      <x:c r="C170" s="170" t="str">
        <x:v>Straight Bar Curl</x:v>
      </x:c>
      <x:c r="D170" s="170" t="n">
        <x:v>3</x:v>
      </x:c>
      <x:c r="E170" s="170" t="n">
        <x:v>12.5</x:v>
      </x:c>
      <x:c r="F170" s="170" t="str">
        <x:v>kg plates each side; bar excluded</x:v>
      </x:c>
      <x:c r="G170" s="170" t="n">
        <x:v>9</x:v>
      </x:c>
      <x:c r="H170" s="170" t="str">
        <x:v>Clean-form detail To verify</x:v>
      </x:c>
      <x:c r="I170" s="170" t="str">
        <x:v>No elbow, wrist, shoulder or biceps pain</x:v>
      </x:c>
      <x:c r="J170" s="170" t="str">
        <x:v>Low final</x:v>
      </x:c>
      <x:c r="K170" s="170" t="str">
        <x:v>Good</x:v>
      </x:c>
      <x:c r="L170" s="170"/>
      <x:c r="M170" s="170" t="str">
        <x:v>Working</x:v>
      </x:c>
      <x:c r="N170" s="170" t="n">
        <x:v>1</x:v>
      </x:c>
    </x:row>
    <x:row r="171">
      <x:c r="A171" s="220" t="n">
        <x:v>46246</x:v>
      </x:c>
      <x:c r="B171" s="170" t="str">
        <x:v>Biceps</x:v>
      </x:c>
      <x:c r="C171" s="170" t="str">
        <x:v>Straight Bar Curl</x:v>
      </x:c>
      <x:c r="D171" s="170" t="n">
        <x:v>4</x:v>
      </x:c>
      <x:c r="E171" s="170" t="n">
        <x:v>15</x:v>
      </x:c>
      <x:c r="F171" s="170" t="str">
        <x:v>kg plates each side; bar excluded</x:v>
      </x:c>
      <x:c r="G171" s="170" t="n">
        <x:v>7</x:v>
      </x:c>
      <x:c r="H171" s="170" t="str">
        <x:v>Clean-form detail To verify</x:v>
      </x:c>
      <x:c r="I171" s="170" t="str">
        <x:v>No elbow, wrist, shoulder or biceps pain</x:v>
      </x:c>
      <x:c r="J171" s="170" t="str">
        <x:v>Low final</x:v>
      </x:c>
      <x:c r="K171" s="170" t="str">
        <x:v>Good</x:v>
      </x:c>
      <x:c r="L171" s="170"/>
      <x:c r="M171" s="170" t="str">
        <x:v>Working</x:v>
      </x:c>
      <x:c r="N171" s="170" t="n">
        <x:v>1</x:v>
      </x:c>
    </x:row>
    <x:row r="172">
      <x:c r="A172" s="220" t="n">
        <x:v>46246</x:v>
      </x:c>
      <x:c r="B172" s="170" t="str">
        <x:v>Biceps</x:v>
      </x:c>
      <x:c r="C172" s="170" t="str">
        <x:v>Plate Curl Machine</x:v>
      </x:c>
      <x:c r="D172" s="170" t="n">
        <x:v>1</x:v>
      </x:c>
      <x:c r="E172" s="170" t="n">
        <x:v>5</x:v>
      </x:c>
      <x:c r="F172" s="170" t="str">
        <x:v>kg plates each side</x:v>
      </x:c>
      <x:c r="G172" s="170" t="n">
        <x:v>17</x:v>
      </x:c>
      <x:c r="H172" s="170" t="str">
        <x:v>Clean-form detail To verify</x:v>
      </x:c>
      <x:c r="I172" s="170" t="str">
        <x:v>No elbow, wrist, shoulder or biceps pain</x:v>
      </x:c>
      <x:c r="J172" s="170" t="str">
        <x:v>Low final</x:v>
      </x:c>
      <x:c r="K172" s="170" t="str">
        <x:v>Good</x:v>
      </x:c>
      <x:c r="L172" s="170"/>
      <x:c r="M172" s="170" t="str">
        <x:v>Working</x:v>
      </x:c>
      <x:c r="N172" s="170" t="n">
        <x:v>1</x:v>
      </x:c>
    </x:row>
    <x:row r="173">
      <x:c r="A173" s="220" t="n">
        <x:v>46246</x:v>
      </x:c>
      <x:c r="B173" s="170" t="str">
        <x:v>Biceps</x:v>
      </x:c>
      <x:c r="C173" s="170" t="str">
        <x:v>Plate Curl Machine</x:v>
      </x:c>
      <x:c r="D173" s="170" t="n">
        <x:v>2</x:v>
      </x:c>
      <x:c r="E173" s="170" t="n">
        <x:v>7.5</x:v>
      </x:c>
      <x:c r="F173" s="170" t="str">
        <x:v>kg plates each side</x:v>
      </x:c>
      <x:c r="G173" s="170" t="n">
        <x:v>13</x:v>
      </x:c>
      <x:c r="H173" s="170" t="str">
        <x:v>Clean-form detail To verify</x:v>
      </x:c>
      <x:c r="I173" s="170" t="str">
        <x:v>No elbow, wrist, shoulder or biceps pain</x:v>
      </x:c>
      <x:c r="J173" s="170" t="str">
        <x:v>Low final</x:v>
      </x:c>
      <x:c r="K173" s="170" t="str">
        <x:v>Good</x:v>
      </x:c>
      <x:c r="L173" s="170"/>
      <x:c r="M173" s="170" t="str">
        <x:v>Working</x:v>
      </x:c>
      <x:c r="N173" s="170" t="n">
        <x:v>1</x:v>
      </x:c>
    </x:row>
    <x:row r="174">
      <x:c r="A174" s="220" t="n">
        <x:v>46246</x:v>
      </x:c>
      <x:c r="B174" s="170" t="str">
        <x:v>Biceps</x:v>
      </x:c>
      <x:c r="C174" s="170" t="str">
        <x:v>Plate Curl Machine</x:v>
      </x:c>
      <x:c r="D174" s="170" t="n">
        <x:v>3</x:v>
      </x:c>
      <x:c r="E174" s="170" t="n">
        <x:v>10</x:v>
      </x:c>
      <x:c r="F174" s="170" t="str">
        <x:v>kg plates each side</x:v>
      </x:c>
      <x:c r="G174" s="170" t="n">
        <x:v>11</x:v>
      </x:c>
      <x:c r="H174" s="170" t="str">
        <x:v>Clean-form detail To verify</x:v>
      </x:c>
      <x:c r="I174" s="170" t="str">
        <x:v>No elbow, wrist, shoulder or biceps pain</x:v>
      </x:c>
      <x:c r="J174" s="170" t="str">
        <x:v>Low final</x:v>
      </x:c>
      <x:c r="K174" s="170" t="str">
        <x:v>Good</x:v>
      </x:c>
      <x:c r="L174" s="170"/>
      <x:c r="M174" s="170" t="str">
        <x:v>Working</x:v>
      </x:c>
      <x:c r="N174" s="170" t="n">
        <x:v>1</x:v>
      </x:c>
    </x:row>
    <x:row r="175">
      <x:c r="A175" s="220" t="n">
        <x:v>46246</x:v>
      </x:c>
      <x:c r="B175" s="170" t="str">
        <x:v>Biceps</x:v>
      </x:c>
      <x:c r="C175" s="170" t="str">
        <x:v>Plate Curl Machine</x:v>
      </x:c>
      <x:c r="D175" s="170" t="n">
        <x:v>4</x:v>
      </x:c>
      <x:c r="E175" s="170" t="n">
        <x:v>12.5</x:v>
      </x:c>
      <x:c r="F175" s="170" t="str">
        <x:v>kg plates each side</x:v>
      </x:c>
      <x:c r="G175" s="170" t="n">
        <x:v>9</x:v>
      </x:c>
      <x:c r="H175" s="170" t="str">
        <x:v>Clean-form detail To verify</x:v>
      </x:c>
      <x:c r="I175" s="170" t="str">
        <x:v>No elbow, wrist, shoulder or biceps pain</x:v>
      </x:c>
      <x:c r="J175" s="170" t="str">
        <x:v>Low final</x:v>
      </x:c>
      <x:c r="K175" s="170" t="str">
        <x:v>Good</x:v>
      </x:c>
      <x:c r="L175" s="170" t="str">
        <x:v>12.5 kg/side correction verified; old 10.25 entry preserved historically</x:v>
      </x:c>
      <x:c r="M175" s="170" t="str">
        <x:v>Working</x:v>
      </x:c>
      <x:c r="N175" s="170" t="n">
        <x:v>1</x:v>
      </x:c>
    </x:row>
    <x:row r="176">
      <x:c r="A176" s="220" t="n">
        <x:v>46246</x:v>
      </x:c>
      <x:c r="B176" s="170" t="str">
        <x:v>Biceps</x:v>
      </x:c>
      <x:c r="C176" s="170" t="str">
        <x:v>Hammer Curl</x:v>
      </x:c>
      <x:c r="D176" s="170" t="n">
        <x:v>1</x:v>
      </x:c>
      <x:c r="E176" s="170" t="n">
        <x:v>12.5</x:v>
      </x:c>
      <x:c r="F176" s="170" t="str">
        <x:v>kg each dumbbell</x:v>
      </x:c>
      <x:c r="G176" s="170" t="n">
        <x:v>15</x:v>
      </x:c>
      <x:c r="H176" s="170" t="str">
        <x:v>Clean-form detail To verify</x:v>
      </x:c>
      <x:c r="I176" s="170" t="str">
        <x:v>No elbow, wrist, shoulder or biceps pain</x:v>
      </x:c>
      <x:c r="J176" s="170" t="str">
        <x:v>Low final</x:v>
      </x:c>
      <x:c r="K176" s="170" t="str">
        <x:v>Good</x:v>
      </x:c>
      <x:c r="L176" s="170"/>
      <x:c r="M176" s="170" t="str">
        <x:v>Working</x:v>
      </x:c>
      <x:c r="N176" s="170" t="n">
        <x:v>2</x:v>
      </x:c>
    </x:row>
    <x:row r="177">
      <x:c r="A177" s="220" t="n">
        <x:v>46246</x:v>
      </x:c>
      <x:c r="B177" s="170" t="str">
        <x:v>Biceps</x:v>
      </x:c>
      <x:c r="C177" s="170" t="str">
        <x:v>Hammer Curl</x:v>
      </x:c>
      <x:c r="D177" s="170" t="n">
        <x:v>2</x:v>
      </x:c>
      <x:c r="E177" s="170" t="n">
        <x:v>15</x:v>
      </x:c>
      <x:c r="F177" s="170" t="str">
        <x:v>kg each dumbbell</x:v>
      </x:c>
      <x:c r="G177" s="170" t="n">
        <x:v>13</x:v>
      </x:c>
      <x:c r="H177" s="170" t="str">
        <x:v>Clean-form detail To verify</x:v>
      </x:c>
      <x:c r="I177" s="170" t="str">
        <x:v>No elbow, wrist, shoulder or biceps pain</x:v>
      </x:c>
      <x:c r="J177" s="170" t="str">
        <x:v>Low final</x:v>
      </x:c>
      <x:c r="K177" s="170" t="str">
        <x:v>Good</x:v>
      </x:c>
      <x:c r="L177" s="170"/>
      <x:c r="M177" s="170" t="str">
        <x:v>Working</x:v>
      </x:c>
      <x:c r="N177" s="170" t="n">
        <x:v>2</x:v>
      </x:c>
    </x:row>
    <x:row r="178">
      <x:c r="A178" s="220" t="n">
        <x:v>46246</x:v>
      </x:c>
      <x:c r="B178" s="170" t="str">
        <x:v>Biceps</x:v>
      </x:c>
      <x:c r="C178" s="170" t="str">
        <x:v>Hammer Curl</x:v>
      </x:c>
      <x:c r="D178" s="170" t="n">
        <x:v>3</x:v>
      </x:c>
      <x:c r="E178" s="170" t="n">
        <x:v>17.5</x:v>
      </x:c>
      <x:c r="F178" s="170" t="str">
        <x:v>kg each dumbbell</x:v>
      </x:c>
      <x:c r="G178" s="170" t="n">
        <x:v>11</x:v>
      </x:c>
      <x:c r="H178" s="170" t="str">
        <x:v>Clean-form detail To verify</x:v>
      </x:c>
      <x:c r="I178" s="170" t="str">
        <x:v>No elbow, wrist, shoulder or biceps pain</x:v>
      </x:c>
      <x:c r="J178" s="170" t="str">
        <x:v>Low final</x:v>
      </x:c>
      <x:c r="K178" s="170" t="str">
        <x:v>Good</x:v>
      </x:c>
      <x:c r="L178" s="170"/>
      <x:c r="M178" s="170" t="str">
        <x:v>Working</x:v>
      </x:c>
      <x:c r="N178" s="170" t="n">
        <x:v>1</x:v>
      </x:c>
    </x:row>
    <x:row r="179">
      <x:c r="A179" s="220" t="n">
        <x:v>46246</x:v>
      </x:c>
      <x:c r="B179" s="170" t="str">
        <x:v>Biceps</x:v>
      </x:c>
      <x:c r="C179" s="170" t="str">
        <x:v>Cable Curl</x:v>
      </x:c>
      <x:c r="D179" s="170" t="n">
        <x:v>1</x:v>
      </x:c>
      <x:c r="E179" s="170" t="n">
        <x:v>30</x:v>
      </x:c>
      <x:c r="F179" s="170" t="str">
        <x:v>kg total cable stack</x:v>
      </x:c>
      <x:c r="G179" s="170" t="n">
        <x:v>15</x:v>
      </x:c>
      <x:c r="H179" s="170" t="str">
        <x:v>Clean-form detail To verify</x:v>
      </x:c>
      <x:c r="I179" s="170" t="str">
        <x:v>No elbow, wrist, shoulder or biceps pain</x:v>
      </x:c>
      <x:c r="J179" s="170" t="str">
        <x:v>Low final</x:v>
      </x:c>
      <x:c r="K179" s="170" t="str">
        <x:v>Good</x:v>
      </x:c>
      <x:c r="L179" s="170"/>
      <x:c r="M179" s="170" t="str">
        <x:v>Working</x:v>
      </x:c>
      <x:c r="N179" s="170" t="n">
        <x:v>1</x:v>
      </x:c>
    </x:row>
    <x:row r="180">
      <x:c r="A180" s="220" t="n">
        <x:v>46246</x:v>
      </x:c>
      <x:c r="B180" s="170" t="str">
        <x:v>Biceps</x:v>
      </x:c>
      <x:c r="C180" s="170" t="str">
        <x:v>Cable Curl</x:v>
      </x:c>
      <x:c r="D180" s="170" t="n">
        <x:v>2</x:v>
      </x:c>
      <x:c r="E180" s="170" t="n">
        <x:v>35</x:v>
      </x:c>
      <x:c r="F180" s="170" t="str">
        <x:v>kg total cable stack</x:v>
      </x:c>
      <x:c r="G180" s="170" t="n">
        <x:v>12</x:v>
      </x:c>
      <x:c r="H180" s="170" t="str">
        <x:v>Clean-form detail To verify</x:v>
      </x:c>
      <x:c r="I180" s="170" t="str">
        <x:v>No elbow, wrist, shoulder or biceps pain</x:v>
      </x:c>
      <x:c r="J180" s="170" t="str">
        <x:v>Low final</x:v>
      </x:c>
      <x:c r="K180" s="170" t="str">
        <x:v>Good</x:v>
      </x:c>
      <x:c r="L180" s="170"/>
      <x:c r="M180" s="170" t="str">
        <x:v>Working</x:v>
      </x:c>
      <x:c r="N180" s="170" t="n">
        <x:v>1</x:v>
      </x:c>
    </x:row>
    <x:row r="181">
      <x:c r="A181" s="220" t="n">
        <x:v>46246</x:v>
      </x:c>
      <x:c r="B181" s="170" t="str">
        <x:v>Biceps</x:v>
      </x:c>
      <x:c r="C181" s="170" t="str">
        <x:v>Cable Curl</x:v>
      </x:c>
      <x:c r="D181" s="170" t="n">
        <x:v>3</x:v>
      </x:c>
      <x:c r="E181" s="170" t="n">
        <x:v>40</x:v>
      </x:c>
      <x:c r="F181" s="170" t="str">
        <x:v>kg total cable stack</x:v>
      </x:c>
      <x:c r="G181" s="170" t="n">
        <x:v>10</x:v>
      </x:c>
      <x:c r="H181" s="170" t="str">
        <x:v>Clean-form detail To verify</x:v>
      </x:c>
      <x:c r="I181" s="170" t="str">
        <x:v>No elbow, wrist, shoulder or biceps pain</x:v>
      </x:c>
      <x:c r="J181" s="170" t="str">
        <x:v>Low final</x:v>
      </x:c>
      <x:c r="K181" s="170" t="str">
        <x:v>Good</x:v>
      </x:c>
      <x:c r="L181" s="170"/>
      <x:c r="M181" s="170" t="str">
        <x:v>Working</x:v>
      </x:c>
      <x:c r="N181" s="170" t="n">
        <x:v>1</x:v>
      </x:c>
    </x:row>
    <x:row r="182">
      <x:c r="A182" s="220" t="n">
        <x:v>46246</x:v>
      </x:c>
      <x:c r="B182" s="170" t="str">
        <x:v>Biceps</x:v>
      </x:c>
      <x:c r="C182" s="170" t="str">
        <x:v>Concentration Curl</x:v>
      </x:c>
      <x:c r="D182" s="170" t="n">
        <x:v>1</x:v>
      </x:c>
      <x:c r="E182" s="170" t="n">
        <x:v>7.5</x:v>
      </x:c>
      <x:c r="F182" s="170" t="str">
        <x:v>kg each dumbbell</x:v>
      </x:c>
      <x:c r="G182" s="170" t="n">
        <x:v>15</x:v>
      </x:c>
      <x:c r="H182" s="170" t="str">
        <x:v>No body swing or assistance confirmed</x:v>
      </x:c>
      <x:c r="I182" s="170" t="str">
        <x:v>No elbow, wrist, shoulder or biceps pain</x:v>
      </x:c>
      <x:c r="J182" s="170" t="str">
        <x:v>Low final</x:v>
      </x:c>
      <x:c r="K182" s="170" t="str">
        <x:v>Good</x:v>
      </x:c>
      <x:c r="L182" s="170"/>
      <x:c r="M182" s="170" t="str">
        <x:v>Working</x:v>
      </x:c>
      <x:c r="N182" s="170" t="n">
        <x:v>1</x:v>
      </x:c>
    </x:row>
    <x:row r="183">
      <x:c r="A183" s="220" t="n">
        <x:v>46246</x:v>
      </x:c>
      <x:c r="B183" s="170" t="str">
        <x:v>Biceps</x:v>
      </x:c>
      <x:c r="C183" s="170" t="str">
        <x:v>Concentration Curl</x:v>
      </x:c>
      <x:c r="D183" s="170" t="n">
        <x:v>2</x:v>
      </x:c>
      <x:c r="E183" s="170" t="n">
        <x:v>10</x:v>
      </x:c>
      <x:c r="F183" s="170" t="str">
        <x:v>kg each dumbbell</x:v>
      </x:c>
      <x:c r="G183" s="170" t="n">
        <x:v>12</x:v>
      </x:c>
      <x:c r="H183" s="170" t="str">
        <x:v>No body swing or assistance confirmed</x:v>
      </x:c>
      <x:c r="I183" s="170" t="str">
        <x:v>No elbow, wrist, shoulder or biceps pain</x:v>
      </x:c>
      <x:c r="J183" s="170" t="str">
        <x:v>Low final</x:v>
      </x:c>
      <x:c r="K183" s="170" t="str">
        <x:v>Good</x:v>
      </x:c>
      <x:c r="L183" s="170"/>
      <x:c r="M183" s="170" t="str">
        <x:v>Working</x:v>
      </x:c>
      <x:c r="N183" s="170" t="n">
        <x:v>0</x:v>
      </x:c>
    </x:row>
    <x:row r="184">
      <x:c r="A184" s="220" t="n">
        <x:v>46246</x:v>
      </x:c>
      <x:c r="B184" s="170" t="str">
        <x:v>Biceps</x:v>
      </x:c>
      <x:c r="C184" s="170" t="str">
        <x:v>Concentration Curl</x:v>
      </x:c>
      <x:c r="D184" s="170" t="n">
        <x:v>3</x:v>
      </x:c>
      <x:c r="E184" s="170" t="n">
        <x:v>12.5</x:v>
      </x:c>
      <x:c r="F184" s="170" t="str">
        <x:v>kg each dumbbell</x:v>
      </x:c>
      <x:c r="G184" s="170" t="n">
        <x:v>9</x:v>
      </x:c>
      <x:c r="H184" s="170" t="str">
        <x:v>No body swing or assistance confirmed</x:v>
      </x:c>
      <x:c r="I184" s="170" t="str">
        <x:v>No elbow, wrist, shoulder or biceps pain</x:v>
      </x:c>
      <x:c r="J184" s="170" t="str">
        <x:v>Low final</x:v>
      </x:c>
      <x:c r="K184" s="170" t="str">
        <x:v>Good</x:v>
      </x:c>
      <x:c r="L184" s="170"/>
      <x:c r="M184" s="170" t="str">
        <x:v>Working</x:v>
      </x:c>
      <x:c r="N184" s="170" t="n">
        <x:v>1</x:v>
      </x:c>
    </x:row>
    <x:row r="185">
      <x:c r="A185" s="220" t="n">
        <x:v>46246</x:v>
      </x:c>
      <x:c r="B185" s="170" t="str">
        <x:v>Biceps</x:v>
      </x:c>
      <x:c r="C185" s="170" t="str">
        <x:v>Reverse EZ-Bar Curl</x:v>
      </x:c>
      <x:c r="D185" s="170" t="n">
        <x:v>1</x:v>
      </x:c>
      <x:c r="E185" s="170" t="n">
        <x:v>5</x:v>
      </x:c>
      <x:c r="F185" s="170" t="str">
        <x:v>kg plates each side; bar excluded</x:v>
      </x:c>
      <x:c r="G185" s="170" t="n">
        <x:v>15</x:v>
      </x:c>
      <x:c r="H185" s="170" t="str">
        <x:v>Clean-form detail To verify</x:v>
      </x:c>
      <x:c r="I185" s="170" t="str">
        <x:v>No elbow, wrist, shoulder or biceps pain</x:v>
      </x:c>
      <x:c r="J185" s="170" t="str">
        <x:v>Low final</x:v>
      </x:c>
      <x:c r="K185" s="170" t="str">
        <x:v>Good</x:v>
      </x:c>
      <x:c r="L185" s="170"/>
      <x:c r="M185" s="170" t="str">
        <x:v>Working</x:v>
      </x:c>
      <x:c r="N185" s="170" t="n">
        <x:v>2</x:v>
      </x:c>
    </x:row>
    <x:row r="186">
      <x:c r="A186" s="220" t="n">
        <x:v>46246</x:v>
      </x:c>
      <x:c r="B186" s="170" t="str">
        <x:v>Biceps</x:v>
      </x:c>
      <x:c r="C186" s="170" t="str">
        <x:v>Reverse EZ-Bar Curl</x:v>
      </x:c>
      <x:c r="D186" s="170" t="n">
        <x:v>2</x:v>
      </x:c>
      <x:c r="E186" s="170" t="n">
        <x:v>7.5</x:v>
      </x:c>
      <x:c r="F186" s="170" t="str">
        <x:v>kg plates each side; bar excluded</x:v>
      </x:c>
      <x:c r="G186" s="170" t="n">
        <x:v>12</x:v>
      </x:c>
      <x:c r="H186" s="170" t="str">
        <x:v>Clean-form detail To verify</x:v>
      </x:c>
      <x:c r="I186" s="170" t="str">
        <x:v>No elbow, wrist, shoulder or biceps pain</x:v>
      </x:c>
      <x:c r="J186" s="170" t="str">
        <x:v>Low final</x:v>
      </x:c>
      <x:c r="K186" s="170" t="str">
        <x:v>Good</x:v>
      </x:c>
      <x:c r="L186" s="170"/>
      <x:c r="M186" s="170" t="str">
        <x:v>Working</x:v>
      </x:c>
      <x:c r="N186" s="170" t="n">
        <x:v>1</x:v>
      </x:c>
    </x:row>
    <x:row r="187">
      <x:c r="A187" s="220" t="n">
        <x:v>46246</x:v>
      </x:c>
      <x:c r="B187" s="170" t="str">
        <x:v>Biceps</x:v>
      </x:c>
      <x:c r="C187" s="170" t="str">
        <x:v>Reverse EZ-Bar Curl</x:v>
      </x:c>
      <x:c r="D187" s="170" t="n">
        <x:v>3</x:v>
      </x:c>
      <x:c r="E187" s="170" t="n">
        <x:v>10</x:v>
      </x:c>
      <x:c r="F187" s="170" t="str">
        <x:v>kg plates each side; bar excluded</x:v>
      </x:c>
      <x:c r="G187" s="170" t="n">
        <x:v>10</x:v>
      </x:c>
      <x:c r="H187" s="170" t="str">
        <x:v>Clean-form detail To verify</x:v>
      </x:c>
      <x:c r="I187" s="170" t="str">
        <x:v>No elbow, wrist, shoulder or biceps pain</x:v>
      </x:c>
      <x:c r="J187" s="170" t="str">
        <x:v>Low final</x:v>
      </x:c>
      <x:c r="K187" s="170" t="str">
        <x:v>Good</x:v>
      </x:c>
      <x:c r="L187" s="170"/>
      <x:c r="M187" s="170" t="str">
        <x:v>Working</x:v>
      </x:c>
      <x:c r="N187" s="170" t="n">
        <x:v>1</x:v>
      </x:c>
    </x:row>
    <x:row r="188">
      <x:c r="A188" s="220" t="n">
        <x:v>46247</x:v>
      </x:c>
      <x:c r="B188" s="170" t="str">
        <x:v>Legs</x:v>
      </x:c>
      <x:c r="C188" s="170" t="str">
        <x:v>Hack Squat</x:v>
      </x:c>
      <x:c r="D188" s="170" t="n">
        <x:v>1</x:v>
      </x:c>
      <x:c r="E188" s="170" t="n">
        <x:v>30</x:v>
      </x:c>
      <x:c r="F188" s="170" t="str">
        <x:v>kg plates each side</x:v>
      </x:c>
      <x:c r="G188" s="170" t="n">
        <x:v>15</x:v>
      </x:c>
      <x:c r="H188" s="170" t="str">
        <x:v>Controlled depth To verify</x:v>
      </x:c>
      <x:c r="I188" s="170" t="str">
        <x:v>No knee, hip or lower-back pain</x:v>
      </x:c>
      <x:c r="J188" s="170" t="str">
        <x:v>Low final</x:v>
      </x:c>
      <x:c r="K188" s="170" t="str">
        <x:v>Good</x:v>
      </x:c>
      <x:c r="L188" s="170" t="str">
        <x:v>Walking downstairs felt easier than previous leg session</x:v>
      </x:c>
      <x:c r="M188" s="170" t="str">
        <x:v>Working</x:v>
      </x:c>
      <x:c r="N188" s="170" t="n">
        <x:v>3</x:v>
      </x:c>
    </x:row>
    <x:row r="189">
      <x:c r="A189" s="220" t="n">
        <x:v>46247</x:v>
      </x:c>
      <x:c r="B189" s="170" t="str">
        <x:v>Legs</x:v>
      </x:c>
      <x:c r="C189" s="170" t="str">
        <x:v>Hack Squat</x:v>
      </x:c>
      <x:c r="D189" s="170" t="n">
        <x:v>2</x:v>
      </x:c>
      <x:c r="E189" s="170" t="n">
        <x:v>40</x:v>
      </x:c>
      <x:c r="F189" s="170" t="str">
        <x:v>kg plates each side</x:v>
      </x:c>
      <x:c r="G189" s="170" t="n">
        <x:v>13</x:v>
      </x:c>
      <x:c r="H189" s="170" t="str">
        <x:v>Controlled depth To verify</x:v>
      </x:c>
      <x:c r="I189" s="170" t="str">
        <x:v>No knee, hip or lower-back pain</x:v>
      </x:c>
      <x:c r="J189" s="170" t="str">
        <x:v>Low final</x:v>
      </x:c>
      <x:c r="K189" s="170" t="str">
        <x:v>Good</x:v>
      </x:c>
      <x:c r="L189" s="170" t="str">
        <x:v>Walking downstairs felt easier than previous leg session</x:v>
      </x:c>
      <x:c r="M189" s="170" t="str">
        <x:v>Working</x:v>
      </x:c>
      <x:c r="N189" s="170" t="n">
        <x:v>2</x:v>
      </x:c>
    </x:row>
    <x:row r="190">
      <x:c r="A190" s="220" t="n">
        <x:v>46247</x:v>
      </x:c>
      <x:c r="B190" s="170" t="str">
        <x:v>Legs</x:v>
      </x:c>
      <x:c r="C190" s="170" t="str">
        <x:v>Hack Squat</x:v>
      </x:c>
      <x:c r="D190" s="170" t="n">
        <x:v>3</x:v>
      </x:c>
      <x:c r="E190" s="170" t="n">
        <x:v>50</x:v>
      </x:c>
      <x:c r="F190" s="170" t="str">
        <x:v>kg plates each side</x:v>
      </x:c>
      <x:c r="G190" s="170" t="n">
        <x:v>11</x:v>
      </x:c>
      <x:c r="H190" s="170" t="str">
        <x:v>Controlled depth To verify</x:v>
      </x:c>
      <x:c r="I190" s="170" t="str">
        <x:v>No knee, hip or lower-back pain</x:v>
      </x:c>
      <x:c r="J190" s="170" t="str">
        <x:v>Low final</x:v>
      </x:c>
      <x:c r="K190" s="170" t="str">
        <x:v>Good</x:v>
      </x:c>
      <x:c r="L190" s="170" t="str">
        <x:v>Walking downstairs felt easier than previous leg session</x:v>
      </x:c>
      <x:c r="M190" s="170" t="str">
        <x:v>Working</x:v>
      </x:c>
      <x:c r="N190" s="170" t="n">
        <x:v>1</x:v>
      </x:c>
    </x:row>
    <x:row r="191">
      <x:c r="A191" s="220" t="n">
        <x:v>46247</x:v>
      </x:c>
      <x:c r="B191" s="170" t="str">
        <x:v>Legs</x:v>
      </x:c>
      <x:c r="C191" s="170" t="str">
        <x:v>Hack Squat</x:v>
      </x:c>
      <x:c r="D191" s="170" t="n">
        <x:v>4</x:v>
      </x:c>
      <x:c r="E191" s="170" t="n">
        <x:v>60</x:v>
      </x:c>
      <x:c r="F191" s="170" t="str">
        <x:v>kg plates each side</x:v>
      </x:c>
      <x:c r="G191" s="170" t="n">
        <x:v>10</x:v>
      </x:c>
      <x:c r="H191" s="170" t="str">
        <x:v>Numerical progression from 9 reps</x:v>
      </x:c>
      <x:c r="I191" s="170" t="str">
        <x:v>No knee, hip or lower-back pain</x:v>
      </x:c>
      <x:c r="J191" s="170" t="str">
        <x:v>Low final</x:v>
      </x:c>
      <x:c r="K191" s="170" t="str">
        <x:v>Good</x:v>
      </x:c>
      <x:c r="L191" s="170" t="str">
        <x:v>Walking downstairs felt easier than previous leg session</x:v>
      </x:c>
      <x:c r="M191" s="170" t="str">
        <x:v>Working</x:v>
      </x:c>
      <x:c r="N191" s="170" t="n">
        <x:v>1</x:v>
      </x:c>
    </x:row>
    <x:row r="192">
      <x:c r="A192" s="220" t="n">
        <x:v>46247</x:v>
      </x:c>
      <x:c r="B192" s="170" t="str">
        <x:v>Legs</x:v>
      </x:c>
      <x:c r="C192" s="170" t="str">
        <x:v>Leg Press</x:v>
      </x:c>
      <x:c r="D192" s="170" t="n">
        <x:v>1</x:v>
      </x:c>
      <x:c r="E192" s="170" t="n">
        <x:v>90</x:v>
      </x:c>
      <x:c r="F192" s="170" t="str">
        <x:v>kg total load</x:v>
      </x:c>
      <x:c r="G192" s="170" t="n">
        <x:v>15</x:v>
      </x:c>
      <x:c r="H192" s="170" t="str">
        <x:v>No assistance</x:v>
      </x:c>
      <x:c r="I192" s="170" t="str">
        <x:v>No knee, hip or lower-back pain</x:v>
      </x:c>
      <x:c r="J192" s="170" t="str">
        <x:v>Low final</x:v>
      </x:c>
      <x:c r="K192" s="170" t="str">
        <x:v>Good</x:v>
      </x:c>
      <x:c r="L192" s="170" t="str">
        <x:v>Walking downstairs felt easier than previous leg session</x:v>
      </x:c>
      <x:c r="M192" s="170" t="str">
        <x:v>Working</x:v>
      </x:c>
      <x:c r="N192" s="170" t="n">
        <x:v>3</x:v>
      </x:c>
    </x:row>
    <x:row r="193">
      <x:c r="A193" s="220" t="n">
        <x:v>46247</x:v>
      </x:c>
      <x:c r="B193" s="170" t="str">
        <x:v>Legs</x:v>
      </x:c>
      <x:c r="C193" s="170" t="str">
        <x:v>Leg Press</x:v>
      </x:c>
      <x:c r="D193" s="170" t="n">
        <x:v>2</x:v>
      </x:c>
      <x:c r="E193" s="170" t="n">
        <x:v>110</x:v>
      </x:c>
      <x:c r="F193" s="170" t="str">
        <x:v>kg total load</x:v>
      </x:c>
      <x:c r="G193" s="170" t="n">
        <x:v>12</x:v>
      </x:c>
      <x:c r="H193" s="170" t="str">
        <x:v>No assistance</x:v>
      </x:c>
      <x:c r="I193" s="170" t="str">
        <x:v>No knee, hip or lower-back pain</x:v>
      </x:c>
      <x:c r="J193" s="170" t="str">
        <x:v>Low final</x:v>
      </x:c>
      <x:c r="K193" s="170" t="str">
        <x:v>Good</x:v>
      </x:c>
      <x:c r="L193" s="170" t="str">
        <x:v>Walking downstairs felt easier than previous leg session</x:v>
      </x:c>
      <x:c r="M193" s="170" t="str">
        <x:v>Working</x:v>
      </x:c>
      <x:c r="N193" s="170" t="n">
        <x:v>1</x:v>
      </x:c>
    </x:row>
    <x:row r="194">
      <x:c r="A194" s="220" t="n">
        <x:v>46247</x:v>
      </x:c>
      <x:c r="B194" s="170" t="str">
        <x:v>Legs</x:v>
      </x:c>
      <x:c r="C194" s="170" t="str">
        <x:v>Leg Press</x:v>
      </x:c>
      <x:c r="D194" s="170" t="n">
        <x:v>3</x:v>
      </x:c>
      <x:c r="E194" s="170" t="n">
        <x:v>130</x:v>
      </x:c>
      <x:c r="F194" s="170" t="str">
        <x:v>kg total load</x:v>
      </x:c>
      <x:c r="G194" s="170" t="n">
        <x:v>10</x:v>
      </x:c>
      <x:c r="H194" s="170" t="str">
        <x:v>No assistance</x:v>
      </x:c>
      <x:c r="I194" s="170" t="str">
        <x:v>No knee, hip or lower-back pain</x:v>
      </x:c>
      <x:c r="J194" s="170" t="str">
        <x:v>Low final</x:v>
      </x:c>
      <x:c r="K194" s="170" t="str">
        <x:v>Good</x:v>
      </x:c>
      <x:c r="L194" s="170" t="str">
        <x:v>Walking downstairs felt easier than previous leg session</x:v>
      </x:c>
      <x:c r="M194" s="170" t="str">
        <x:v>Working</x:v>
      </x:c>
      <x:c r="N194" s="170" t="n">
        <x:v>1</x:v>
      </x:c>
    </x:row>
    <x:row r="195">
      <x:c r="A195" s="220" t="n">
        <x:v>46247</x:v>
      </x:c>
      <x:c r="B195" s="170" t="str">
        <x:v>Legs</x:v>
      </x:c>
      <x:c r="C195" s="170" t="str">
        <x:v>Leg Press</x:v>
      </x:c>
      <x:c r="D195" s="170" t="n">
        <x:v>4</x:v>
      </x:c>
      <x:c r="E195" s="170" t="n">
        <x:v>150</x:v>
      </x:c>
      <x:c r="F195" s="170" t="str">
        <x:v>kg total load</x:v>
      </x:c>
      <x:c r="G195" s="170" t="n">
        <x:v>8</x:v>
      </x:c>
      <x:c r="H195" s="170" t="str">
        <x:v>4 clean + 4 hand-assisted; do not treat as 8 clean</x:v>
      </x:c>
      <x:c r="I195" s="170" t="str">
        <x:v>No knee, hip or lower-back pain</x:v>
      </x:c>
      <x:c r="J195" s="170" t="str">
        <x:v>Low final</x:v>
      </x:c>
      <x:c r="K195" s="170" t="str">
        <x:v>Good</x:v>
      </x:c>
      <x:c r="L195" s="170" t="str">
        <x:v>Walking downstairs felt easier than previous leg session</x:v>
      </x:c>
      <x:c r="M195" s="170" t="str">
        <x:v>Assisted</x:v>
      </x:c>
      <x:c r="N195" s="170" t="n">
        <x:v>1</x:v>
      </x:c>
    </x:row>
    <x:row r="196">
      <x:c r="A196" s="220" t="n">
        <x:v>46247</x:v>
      </x:c>
      <x:c r="B196" s="170" t="str">
        <x:v>Legs</x:v>
      </x:c>
      <x:c r="C196" s="170" t="str">
        <x:v>Leg Extension</x:v>
      </x:c>
      <x:c r="D196" s="170" t="n">
        <x:v>1</x:v>
      </x:c>
      <x:c r="E196" s="170" t="n">
        <x:v>30</x:v>
      </x:c>
      <x:c r="F196" s="170" t="str">
        <x:v>kg total stack</x:v>
      </x:c>
      <x:c r="G196" s="170" t="n">
        <x:v>16</x:v>
      </x:c>
      <x:c r="H196" s="170" t="str">
        <x:v>Controlled reps</x:v>
      </x:c>
      <x:c r="I196" s="170" t="str">
        <x:v>No knee, hip or lower-back pain</x:v>
      </x:c>
      <x:c r="J196" s="170" t="str">
        <x:v>Low final</x:v>
      </x:c>
      <x:c r="K196" s="170" t="str">
        <x:v>Good</x:v>
      </x:c>
      <x:c r="L196" s="170" t="str">
        <x:v>Walking downstairs felt easier than previous leg session</x:v>
      </x:c>
      <x:c r="M196" s="170" t="str">
        <x:v>Working</x:v>
      </x:c>
      <x:c r="N196" s="170" t="n">
        <x:v>2</x:v>
      </x:c>
    </x:row>
    <x:row r="197">
      <x:c r="A197" s="220" t="n">
        <x:v>46247</x:v>
      </x:c>
      <x:c r="B197" s="170" t="str">
        <x:v>Legs</x:v>
      </x:c>
      <x:c r="C197" s="170" t="str">
        <x:v>Leg Extension</x:v>
      </x:c>
      <x:c r="D197" s="170" t="n">
        <x:v>2</x:v>
      </x:c>
      <x:c r="E197" s="170" t="n">
        <x:v>35</x:v>
      </x:c>
      <x:c r="F197" s="170" t="str">
        <x:v>kg total stack</x:v>
      </x:c>
      <x:c r="G197" s="170" t="n">
        <x:v>14</x:v>
      </x:c>
      <x:c r="H197" s="170" t="str">
        <x:v>Controlled reps</x:v>
      </x:c>
      <x:c r="I197" s="170" t="str">
        <x:v>No knee, hip or lower-back pain</x:v>
      </x:c>
      <x:c r="J197" s="170" t="str">
        <x:v>Low final</x:v>
      </x:c>
      <x:c r="K197" s="170" t="str">
        <x:v>Good</x:v>
      </x:c>
      <x:c r="L197" s="170" t="str">
        <x:v>Walking downstairs felt easier than previous leg session</x:v>
      </x:c>
      <x:c r="M197" s="170" t="str">
        <x:v>Working</x:v>
      </x:c>
      <x:c r="N197" s="170" t="n">
        <x:v>2</x:v>
      </x:c>
    </x:row>
    <x:row r="198">
      <x:c r="A198" s="220" t="n">
        <x:v>46247</x:v>
      </x:c>
      <x:c r="B198" s="170" t="str">
        <x:v>Legs</x:v>
      </x:c>
      <x:c r="C198" s="170" t="str">
        <x:v>Leg Extension</x:v>
      </x:c>
      <x:c r="D198" s="170" t="n">
        <x:v>3</x:v>
      </x:c>
      <x:c r="E198" s="170" t="n">
        <x:v>40</x:v>
      </x:c>
      <x:c r="F198" s="170" t="str">
        <x:v>kg total stack</x:v>
      </x:c>
      <x:c r="G198" s="170" t="n">
        <x:v>12</x:v>
      </x:c>
      <x:c r="H198" s="170" t="str">
        <x:v>Controlled reps</x:v>
      </x:c>
      <x:c r="I198" s="170" t="str">
        <x:v>No knee, hip or lower-back pain</x:v>
      </x:c>
      <x:c r="J198" s="170" t="str">
        <x:v>Low final</x:v>
      </x:c>
      <x:c r="K198" s="170" t="str">
        <x:v>Good</x:v>
      </x:c>
      <x:c r="L198" s="170" t="str">
        <x:v>Walking downstairs felt easier than previous leg session</x:v>
      </x:c>
      <x:c r="M198" s="170" t="str">
        <x:v>Working</x:v>
      </x:c>
      <x:c r="N198" s="170" t="n">
        <x:v>2</x:v>
      </x:c>
    </x:row>
    <x:row r="199">
      <x:c r="A199" s="220" t="n">
        <x:v>46247</x:v>
      </x:c>
      <x:c r="B199" s="170" t="str">
        <x:v>Legs</x:v>
      </x:c>
      <x:c r="C199" s="170" t="str">
        <x:v>Leg Extension</x:v>
      </x:c>
      <x:c r="D199" s="170" t="n">
        <x:v>4</x:v>
      </x:c>
      <x:c r="E199" s="170" t="n">
        <x:v>45</x:v>
      </x:c>
      <x:c r="F199" s="170" t="str">
        <x:v>kg total stack</x:v>
      </x:c>
      <x:c r="G199" s="170" t="n">
        <x:v>12</x:v>
      </x:c>
      <x:c r="H199" s="170" t="str">
        <x:v>Progressed from 10 to 12 reps</x:v>
      </x:c>
      <x:c r="I199" s="170" t="str">
        <x:v>No knee, hip or lower-back pain</x:v>
      </x:c>
      <x:c r="J199" s="170" t="str">
        <x:v>Low final</x:v>
      </x:c>
      <x:c r="K199" s="170" t="str">
        <x:v>Good</x:v>
      </x:c>
      <x:c r="L199" s="170" t="str">
        <x:v>Walking downstairs felt easier than previous leg session</x:v>
      </x:c>
      <x:c r="M199" s="170" t="str">
        <x:v>Working</x:v>
      </x:c>
      <x:c r="N199" s="170" t="n">
        <x:v>1</x:v>
      </x:c>
    </x:row>
    <x:row r="200">
      <x:c r="A200" s="220" t="n">
        <x:v>46247</x:v>
      </x:c>
      <x:c r="B200" s="170" t="str">
        <x:v>Legs</x:v>
      </x:c>
      <x:c r="C200" s="170" t="str">
        <x:v>Leg Curl</x:v>
      </x:c>
      <x:c r="D200" s="170" t="n">
        <x:v>1</x:v>
      </x:c>
      <x:c r="E200" s="170" t="n">
        <x:v>35</x:v>
      </x:c>
      <x:c r="F200" s="170" t="str">
        <x:v>kg total stack</x:v>
      </x:c>
      <x:c r="G200" s="170" t="n">
        <x:v>15</x:v>
      </x:c>
      <x:c r="H200" s="170" t="str">
        <x:v>Full range not independently verified</x:v>
      </x:c>
      <x:c r="I200" s="170" t="str">
        <x:v>No knee, hip or lower-back pain</x:v>
      </x:c>
      <x:c r="J200" s="170" t="str">
        <x:v>Low final</x:v>
      </x:c>
      <x:c r="K200" s="170" t="str">
        <x:v>Good</x:v>
      </x:c>
      <x:c r="L200" s="170" t="str">
        <x:v>Walking downstairs felt easier than previous leg session</x:v>
      </x:c>
      <x:c r="M200" s="170" t="str">
        <x:v>Working</x:v>
      </x:c>
      <x:c r="N200" s="170" t="n">
        <x:v>1</x:v>
      </x:c>
    </x:row>
    <x:row r="201">
      <x:c r="A201" s="220" t="n">
        <x:v>46247</x:v>
      </x:c>
      <x:c r="B201" s="170" t="str">
        <x:v>Legs</x:v>
      </x:c>
      <x:c r="C201" s="170" t="str">
        <x:v>Leg Curl</x:v>
      </x:c>
      <x:c r="D201" s="170" t="n">
        <x:v>2</x:v>
      </x:c>
      <x:c r="E201" s="170" t="n">
        <x:v>40</x:v>
      </x:c>
      <x:c r="F201" s="170" t="str">
        <x:v>kg total stack</x:v>
      </x:c>
      <x:c r="G201" s="170" t="n">
        <x:v>8</x:v>
      </x:c>
      <x:c r="H201" s="170" t="str">
        <x:v>To verify: possible shortened range or hip movement while struggling</x:v>
      </x:c>
      <x:c r="I201" s="170" t="str">
        <x:v>No knee, hip or lower-back pain</x:v>
      </x:c>
      <x:c r="J201" s="170" t="str">
        <x:v>Low final</x:v>
      </x:c>
      <x:c r="K201" s="170" t="str">
        <x:v>Good</x:v>
      </x:c>
      <x:c r="L201" s="170" t="str">
        <x:v>Walking downstairs felt easier than previous leg session</x:v>
      </x:c>
      <x:c r="M201" s="170" t="str">
        <x:v>Working</x:v>
      </x:c>
      <x:c r="N201" s="170" t="n">
        <x:v>1</x:v>
      </x:c>
    </x:row>
    <x:row r="202">
      <x:c r="A202" s="220" t="n">
        <x:v>46247</x:v>
      </x:c>
      <x:c r="B202" s="170" t="str">
        <x:v>Legs</x:v>
      </x:c>
      <x:c r="C202" s="170" t="str">
        <x:v>Leg Curl</x:v>
      </x:c>
      <x:c r="D202" s="170" t="n">
        <x:v>3</x:v>
      </x:c>
      <x:c r="E202" s="170" t="n">
        <x:v>40</x:v>
      </x:c>
      <x:c r="F202" s="170" t="str">
        <x:v>kg total stack</x:v>
      </x:c>
      <x:c r="G202" s="170" t="n">
        <x:v>8</x:v>
      </x:c>
      <x:c r="H202" s="170" t="str">
        <x:v>To verify: possible shortened range or hip movement while struggling</x:v>
      </x:c>
      <x:c r="I202" s="170" t="str">
        <x:v>No knee, hip or lower-back pain</x:v>
      </x:c>
      <x:c r="J202" s="170" t="str">
        <x:v>Low final</x:v>
      </x:c>
      <x:c r="K202" s="170" t="str">
        <x:v>Good</x:v>
      </x:c>
      <x:c r="L202" s="170" t="str">
        <x:v>Walking downstairs felt easier than previous leg session</x:v>
      </x:c>
      <x:c r="M202" s="170" t="str">
        <x:v>Working</x:v>
      </x:c>
      <x:c r="N202" s="170" t="n">
        <x:v>1</x:v>
      </x:c>
    </x:row>
    <x:row r="203">
      <x:c r="A203" s="220" t="n">
        <x:v>46247</x:v>
      </x:c>
      <x:c r="B203" s="170" t="str">
        <x:v>Legs</x:v>
      </x:c>
      <x:c r="C203" s="170" t="str">
        <x:v>Hip Abductor</x:v>
      </x:c>
      <x:c r="D203" s="170" t="n">
        <x:v>1</x:v>
      </x:c>
      <x:c r="E203" s="170" t="n">
        <x:v>50</x:v>
      </x:c>
      <x:c r="F203" s="170" t="str">
        <x:v>kg total stack</x:v>
      </x:c>
      <x:c r="G203" s="170" t="n">
        <x:v>15</x:v>
      </x:c>
      <x:c r="H203" s="170" t="str">
        <x:v>Controlled</x:v>
      </x:c>
      <x:c r="I203" s="170" t="str">
        <x:v>No knee, hip or lower-back pain</x:v>
      </x:c>
      <x:c r="J203" s="170" t="str">
        <x:v>Low final</x:v>
      </x:c>
      <x:c r="K203" s="170" t="str">
        <x:v>Good</x:v>
      </x:c>
      <x:c r="L203" s="170" t="str">
        <x:v>Walking downstairs felt easier than previous leg session</x:v>
      </x:c>
      <x:c r="M203" s="170" t="str">
        <x:v>Working</x:v>
      </x:c>
      <x:c r="N203" s="170" t="n">
        <x:v>2</x:v>
      </x:c>
    </x:row>
    <x:row r="204">
      <x:c r="A204" s="220" t="n">
        <x:v>46247</x:v>
      </x:c>
      <x:c r="B204" s="170" t="str">
        <x:v>Legs</x:v>
      </x:c>
      <x:c r="C204" s="170" t="str">
        <x:v>Hip Abductor</x:v>
      </x:c>
      <x:c r="D204" s="170" t="n">
        <x:v>2</x:v>
      </x:c>
      <x:c r="E204" s="170" t="n">
        <x:v>60</x:v>
      </x:c>
      <x:c r="F204" s="170" t="str">
        <x:v>kg total stack</x:v>
      </x:c>
      <x:c r="G204" s="170" t="n">
        <x:v>12</x:v>
      </x:c>
      <x:c r="H204" s="170" t="str">
        <x:v>Controlled</x:v>
      </x:c>
      <x:c r="I204" s="170" t="str">
        <x:v>No knee, hip or lower-back pain</x:v>
      </x:c>
      <x:c r="J204" s="170" t="str">
        <x:v>Low final</x:v>
      </x:c>
      <x:c r="K204" s="170" t="str">
        <x:v>Good</x:v>
      </x:c>
      <x:c r="L204" s="170" t="str">
        <x:v>Walking downstairs felt easier than previous leg session</x:v>
      </x:c>
      <x:c r="M204" s="170" t="str">
        <x:v>Working</x:v>
      </x:c>
      <x:c r="N204" s="170" t="n">
        <x:v>2</x:v>
      </x:c>
    </x:row>
    <x:row r="205">
      <x:c r="A205" s="220" t="n">
        <x:v>46247</x:v>
      </x:c>
      <x:c r="B205" s="170" t="str">
        <x:v>Legs</x:v>
      </x:c>
      <x:c r="C205" s="170" t="str">
        <x:v>Hip Adductor</x:v>
      </x:c>
      <x:c r="D205" s="170" t="n">
        <x:v>1</x:v>
      </x:c>
      <x:c r="E205" s="170" t="n">
        <x:v>40</x:v>
      </x:c>
      <x:c r="F205" s="170" t="str">
        <x:v>kg total stack</x:v>
      </x:c>
      <x:c r="G205" s="170" t="n">
        <x:v>15</x:v>
      </x:c>
      <x:c r="H205" s="170" t="str">
        <x:v>Controlled squeeze</x:v>
      </x:c>
      <x:c r="I205" s="170" t="str">
        <x:v>No knee, hip or lower-back pain</x:v>
      </x:c>
      <x:c r="J205" s="170" t="str">
        <x:v>Low final</x:v>
      </x:c>
      <x:c r="K205" s="170" t="str">
        <x:v>Good</x:v>
      </x:c>
      <x:c r="L205" s="170" t="str">
        <x:v>Walking downstairs felt easier than previous leg session</x:v>
      </x:c>
      <x:c r="M205" s="170" t="str">
        <x:v>Working</x:v>
      </x:c>
      <x:c r="N205" s="170" t="n">
        <x:v>2</x:v>
      </x:c>
    </x:row>
    <x:row r="206">
      <x:c r="A206" s="220" t="n">
        <x:v>46247</x:v>
      </x:c>
      <x:c r="B206" s="170" t="str">
        <x:v>Legs</x:v>
      </x:c>
      <x:c r="C206" s="170" t="str">
        <x:v>Hip Adductor</x:v>
      </x:c>
      <x:c r="D206" s="170" t="n">
        <x:v>2</x:v>
      </x:c>
      <x:c r="E206" s="170" t="n">
        <x:v>50</x:v>
      </x:c>
      <x:c r="F206" s="170" t="str">
        <x:v>kg total stack</x:v>
      </x:c>
      <x:c r="G206" s="170" t="n">
        <x:v>10</x:v>
      </x:c>
      <x:c r="H206" s="170" t="str">
        <x:v>Controlled squeeze</x:v>
      </x:c>
      <x:c r="I206" s="170" t="str">
        <x:v>No knee, hip or lower-back pain</x:v>
      </x:c>
      <x:c r="J206" s="170" t="str">
        <x:v>Low final</x:v>
      </x:c>
      <x:c r="K206" s="170" t="str">
        <x:v>Good</x:v>
      </x:c>
      <x:c r="L206" s="170" t="str">
        <x:v>Walking downstairs felt easier than previous leg session</x:v>
      </x:c>
      <x:c r="M206" s="170" t="str">
        <x:v>Working</x:v>
      </x:c>
      <x:c r="N206" s="170" t="n">
        <x:v>1</x:v>
      </x:c>
    </x:row>
    <x:row r="207">
      <x:c r="A207" s="220" t="n">
        <x:v>46247</x:v>
      </x:c>
      <x:c r="B207" s="170" t="str">
        <x:v>Legs</x:v>
      </x:c>
      <x:c r="C207" s="170" t="str">
        <x:v>Standing Calf Raise</x:v>
      </x:c>
      <x:c r="D207" s="170" t="n">
        <x:v>1</x:v>
      </x:c>
      <x:c r="E207" s="170" t="str">
        <x:v>Bar/body resistance only</x:v>
      </x:c>
      <x:c r="F207" s="170" t="str">
        <x:v>guided bar machine</x:v>
      </x:c>
      <x:c r="G207" s="170" t="n">
        <x:v>22</x:v>
      </x:c>
      <x:c r="H207" s="170" t="str">
        <x:v>Full stretch and top pause To verify</x:v>
      </x:c>
      <x:c r="I207" s="170" t="str">
        <x:v>No knee, hip or lower-back pain</x:v>
      </x:c>
      <x:c r="J207" s="170" t="str">
        <x:v>Low final</x:v>
      </x:c>
      <x:c r="K207" s="170" t="str">
        <x:v>Good</x:v>
      </x:c>
      <x:c r="L207" s="170" t="str">
        <x:v>Walking downstairs felt easier than previous leg session</x:v>
      </x:c>
      <x:c r="M207" s="170" t="str">
        <x:v>Working</x:v>
      </x:c>
      <x:c r="N207" s="170" t="n">
        <x:v>3</x:v>
      </x:c>
    </x:row>
    <x:row r="208">
      <x:c r="A208" s="220" t="n">
        <x:v>46247</x:v>
      </x:c>
      <x:c r="B208" s="170" t="str">
        <x:v>Legs</x:v>
      </x:c>
      <x:c r="C208" s="170" t="str">
        <x:v>Standing Calf Raise</x:v>
      </x:c>
      <x:c r="D208" s="170" t="n">
        <x:v>2</x:v>
      </x:c>
      <x:c r="E208" s="170" t="str">
        <x:v>Bar + 10</x:v>
      </x:c>
      <x:c r="F208" s="170" t="str">
        <x:v>kg plates each side</x:v>
      </x:c>
      <x:c r="G208" s="170" t="n">
        <x:v>18</x:v>
      </x:c>
      <x:c r="H208" s="170" t="str">
        <x:v>Full stretch and top pause To verify</x:v>
      </x:c>
      <x:c r="I208" s="170" t="str">
        <x:v>No knee, hip or lower-back pain</x:v>
      </x:c>
      <x:c r="J208" s="170" t="str">
        <x:v>Low final</x:v>
      </x:c>
      <x:c r="K208" s="170" t="str">
        <x:v>Good</x:v>
      </x:c>
      <x:c r="L208" s="170" t="str">
        <x:v>Walking downstairs felt easier than previous leg session</x:v>
      </x:c>
      <x:c r="M208" s="170" t="str">
        <x:v>Working</x:v>
      </x:c>
      <x:c r="N208" s="170" t="n">
        <x:v>2</x:v>
      </x:c>
    </x:row>
    <x:row r="209">
      <x:c r="A209" s="220" t="n">
        <x:v>46247</x:v>
      </x:c>
      <x:c r="B209" s="170" t="str">
        <x:v>Legs</x:v>
      </x:c>
      <x:c r="C209" s="170" t="str">
        <x:v>Standing Calf Raise</x:v>
      </x:c>
      <x:c r="D209" s="170" t="n">
        <x:v>3</x:v>
      </x:c>
      <x:c r="E209" s="170" t="str">
        <x:v>Bar + 20</x:v>
      </x:c>
      <x:c r="F209" s="170" t="str">
        <x:v>kg plates each side</x:v>
      </x:c>
      <x:c r="G209" s="170" t="n">
        <x:v>16</x:v>
      </x:c>
      <x:c r="H209" s="170" t="str">
        <x:v>Improved from 14 to 16 reps</x:v>
      </x:c>
      <x:c r="I209" s="170" t="str">
        <x:v>No knee, hip or lower-back pain</x:v>
      </x:c>
      <x:c r="J209" s="170" t="str">
        <x:v>Low final</x:v>
      </x:c>
      <x:c r="K209" s="170" t="str">
        <x:v>Good</x:v>
      </x:c>
      <x:c r="L209" s="170" t="str">
        <x:v>Walking downstairs felt easier than previous leg session</x:v>
      </x:c>
      <x:c r="M209" s="170" t="str">
        <x:v>Working</x:v>
      </x:c>
      <x:c r="N209" s="170" t="n">
        <x:v>2</x:v>
      </x:c>
    </x:row>
    <x:row r="210">
      <x:c r="A210" s="220" t="n">
        <x:v>46248</x:v>
      </x:c>
      <x:c r="B210" s="170" t="str">
        <x:v>Shoulders</x:v>
      </x:c>
      <x:c r="C210" s="170" t="str">
        <x:v>Dumbbell Shoulder Press</x:v>
      </x:c>
      <x:c r="D210" s="170" t="n">
        <x:v>1</x:v>
      </x:c>
      <x:c r="E210" s="170" t="n">
        <x:v>15</x:v>
      </x:c>
      <x:c r="F210" s="170" t="str">
        <x:v>kg each dumbbell</x:v>
      </x:c>
      <x:c r="G210" s="170" t="n">
        <x:v>15</x:v>
      </x:c>
      <x:c r="H210" s="170" t="str">
        <x:v>No assistance reported</x:v>
      </x:c>
      <x:c r="I210" s="170" t="str">
        <x:v>No pain</x:v>
      </x:c>
      <x:c r="J210" s="170" t="str">
        <x:v>Medium final</x:v>
      </x:c>
      <x:c r="K210" s="170" t="str">
        <x:v>Good</x:v>
      </x:c>
      <x:c r="L210" s="170"/>
      <x:c r="M210" s="170" t="str">
        <x:v>Working</x:v>
      </x:c>
      <x:c r="N210" s="170" t="n">
        <x:v>3</x:v>
      </x:c>
    </x:row>
    <x:row r="211">
      <x:c r="A211" s="220" t="n">
        <x:v>46248</x:v>
      </x:c>
      <x:c r="B211" s="170" t="str">
        <x:v>Shoulders</x:v>
      </x:c>
      <x:c r="C211" s="170" t="str">
        <x:v>Dumbbell Shoulder Press</x:v>
      </x:c>
      <x:c r="D211" s="170" t="n">
        <x:v>2</x:v>
      </x:c>
      <x:c r="E211" s="170" t="n">
        <x:v>17.5</x:v>
      </x:c>
      <x:c r="F211" s="170" t="str">
        <x:v>kg each dumbbell</x:v>
      </x:c>
      <x:c r="G211" s="170" t="n">
        <x:v>12</x:v>
      </x:c>
      <x:c r="H211" s="170" t="str">
        <x:v>No assistance reported</x:v>
      </x:c>
      <x:c r="I211" s="170" t="str">
        <x:v>No pain</x:v>
      </x:c>
      <x:c r="J211" s="170" t="str">
        <x:v>Medium final</x:v>
      </x:c>
      <x:c r="K211" s="170" t="str">
        <x:v>Good</x:v>
      </x:c>
      <x:c r="L211" s="170"/>
      <x:c r="M211" s="170" t="str">
        <x:v>Working</x:v>
      </x:c>
      <x:c r="N211" s="170" t="n">
        <x:v>2</x:v>
      </x:c>
    </x:row>
    <x:row r="212">
      <x:c r="A212" s="220" t="n">
        <x:v>46248</x:v>
      </x:c>
      <x:c r="B212" s="170" t="str">
        <x:v>Shoulders</x:v>
      </x:c>
      <x:c r="C212" s="170" t="str">
        <x:v>Dumbbell Shoulder Press</x:v>
      </x:c>
      <x:c r="D212" s="170" t="n">
        <x:v>3</x:v>
      </x:c>
      <x:c r="E212" s="170" t="n">
        <x:v>20</x:v>
      </x:c>
      <x:c r="F212" s="170" t="str">
        <x:v>kg each dumbbell</x:v>
      </x:c>
      <x:c r="G212" s="170" t="n">
        <x:v>10</x:v>
      </x:c>
      <x:c r="H212" s="170" t="str">
        <x:v>No assistance reported</x:v>
      </x:c>
      <x:c r="I212" s="170" t="str">
        <x:v>No pain</x:v>
      </x:c>
      <x:c r="J212" s="170" t="str">
        <x:v>Medium final</x:v>
      </x:c>
      <x:c r="K212" s="170" t="str">
        <x:v>Good</x:v>
      </x:c>
      <x:c r="L212" s="170"/>
      <x:c r="M212" s="170" t="str">
        <x:v>Working</x:v>
      </x:c>
      <x:c r="N212" s="170" t="n">
        <x:v>1</x:v>
      </x:c>
    </x:row>
    <x:row r="213">
      <x:c r="A213" s="220" t="n">
        <x:v>46248</x:v>
      </x:c>
      <x:c r="B213" s="170" t="str">
        <x:v>Shoulders</x:v>
      </x:c>
      <x:c r="C213" s="170" t="str">
        <x:v>Dumbbell Shoulder Press</x:v>
      </x:c>
      <x:c r="D213" s="170" t="n">
        <x:v>4</x:v>
      </x:c>
      <x:c r="E213" s="170" t="n">
        <x:v>22.5</x:v>
      </x:c>
      <x:c r="F213" s="170" t="str">
        <x:v>kg each dumbbell</x:v>
      </x:c>
      <x:c r="G213" s="170" t="n">
        <x:v>8</x:v>
      </x:c>
      <x:c r="H213" s="170" t="str">
        <x:v>No assistance reported</x:v>
      </x:c>
      <x:c r="I213" s="170" t="str">
        <x:v>No pain</x:v>
      </x:c>
      <x:c r="J213" s="170" t="str">
        <x:v>Medium final</x:v>
      </x:c>
      <x:c r="K213" s="170" t="str">
        <x:v>Good</x:v>
      </x:c>
      <x:c r="L213" s="170"/>
      <x:c r="M213" s="170" t="str">
        <x:v>Working</x:v>
      </x:c>
      <x:c r="N213" s="170" t="n">
        <x:v>1</x:v>
      </x:c>
    </x:row>
    <x:row r="214">
      <x:c r="A214" s="220" t="n">
        <x:v>46248</x:v>
      </x:c>
      <x:c r="B214" s="170" t="str">
        <x:v>Shoulders</x:v>
      </x:c>
      <x:c r="C214" s="170" t="str">
        <x:v>Plate-Loaded Lateral Raise Machine</x:v>
      </x:c>
      <x:c r="D214" s="170" t="n">
        <x:v>1</x:v>
      </x:c>
      <x:c r="E214" s="170" t="str">
        <x:v>Free machine</x:v>
      </x:c>
      <x:c r="F214" s="170" t="str">
        <x:v>machine resistance only</x:v>
      </x:c>
      <x:c r="G214" s="170" t="n">
        <x:v>15</x:v>
      </x:c>
      <x:c r="H214" s="170" t="str">
        <x:v>Reported as free set plus 2.5 kg/side repeated twice; total loaded-set count To verify</x:v>
      </x:c>
      <x:c r="I214" s="170" t="str">
        <x:v>No pain</x:v>
      </x:c>
      <x:c r="J214" s="170" t="str">
        <x:v>Medium final</x:v>
      </x:c>
      <x:c r="K214" s="170" t="str">
        <x:v>Good</x:v>
      </x:c>
      <x:c r="L214" s="170" t="str">
        <x:v>Preserved as three 2.5 kg/side sets pending verification</x:v>
      </x:c>
      <x:c r="M214" s="170" t="str">
        <x:v>Working</x:v>
      </x:c>
      <x:c r="N214" s="170" t="n">
        <x:v>2</x:v>
      </x:c>
    </x:row>
    <x:row r="215">
      <x:c r="A215" s="220" t="n">
        <x:v>46248</x:v>
      </x:c>
      <x:c r="B215" s="170" t="str">
        <x:v>Shoulders</x:v>
      </x:c>
      <x:c r="C215" s="170" t="str">
        <x:v>Plate-Loaded Lateral Raise Machine</x:v>
      </x:c>
      <x:c r="D215" s="170" t="n">
        <x:v>2</x:v>
      </x:c>
      <x:c r="E215" s="170" t="n">
        <x:v>2.5</x:v>
      </x:c>
      <x:c r="F215" s="170" t="str">
        <x:v>kg plates each side</x:v>
      </x:c>
      <x:c r="G215" s="170" t="n">
        <x:v>15</x:v>
      </x:c>
      <x:c r="H215" s="170" t="str">
        <x:v>Reported as free set plus 2.5 kg/side repeated twice; total loaded-set count To verify</x:v>
      </x:c>
      <x:c r="I215" s="170" t="str">
        <x:v>No pain</x:v>
      </x:c>
      <x:c r="J215" s="170" t="str">
        <x:v>Medium final</x:v>
      </x:c>
      <x:c r="K215" s="170" t="str">
        <x:v>Good</x:v>
      </x:c>
      <x:c r="L215" s="170" t="str">
        <x:v>Preserved as three 2.5 kg/side sets pending verification</x:v>
      </x:c>
      <x:c r="M215" s="170" t="str">
        <x:v>Working</x:v>
      </x:c>
      <x:c r="N215" s="170" t="n">
        <x:v>2</x:v>
      </x:c>
    </x:row>
    <x:row r="216">
      <x:c r="A216" s="220" t="n">
        <x:v>46248</x:v>
      </x:c>
      <x:c r="B216" s="170" t="str">
        <x:v>Shoulders</x:v>
      </x:c>
      <x:c r="C216" s="170" t="str">
        <x:v>Plate-Loaded Lateral Raise Machine</x:v>
      </x:c>
      <x:c r="D216" s="170" t="n">
        <x:v>3</x:v>
      </x:c>
      <x:c r="E216" s="170" t="n">
        <x:v>2.5</x:v>
      </x:c>
      <x:c r="F216" s="170" t="str">
        <x:v>kg plates each side</x:v>
      </x:c>
      <x:c r="G216" s="170" t="n">
        <x:v>15</x:v>
      </x:c>
      <x:c r="H216" s="170" t="str">
        <x:v>Reported as free set plus 2.5 kg/side repeated twice; total loaded-set count To verify</x:v>
      </x:c>
      <x:c r="I216" s="170" t="str">
        <x:v>No pain</x:v>
      </x:c>
      <x:c r="J216" s="170" t="str">
        <x:v>Medium final</x:v>
      </x:c>
      <x:c r="K216" s="170" t="str">
        <x:v>Good</x:v>
      </x:c>
      <x:c r="L216" s="170" t="str">
        <x:v>Preserved as three 2.5 kg/side sets pending verification</x:v>
      </x:c>
      <x:c r="M216" s="170" t="str">
        <x:v>Working</x:v>
      </x:c>
      <x:c r="N216" s="170" t="n">
        <x:v>2</x:v>
      </x:c>
    </x:row>
    <x:row r="217">
      <x:c r="A217" s="220" t="n">
        <x:v>46248</x:v>
      </x:c>
      <x:c r="B217" s="170" t="str">
        <x:v>Shoulders</x:v>
      </x:c>
      <x:c r="C217" s="170" t="str">
        <x:v>Plate-Loaded Lateral Raise Machine</x:v>
      </x:c>
      <x:c r="D217" s="170" t="n">
        <x:v>4</x:v>
      </x:c>
      <x:c r="E217" s="170" t="n">
        <x:v>2.5</x:v>
      </x:c>
      <x:c r="F217" s="170" t="str">
        <x:v>kg plates each side</x:v>
      </x:c>
      <x:c r="G217" s="170" t="n">
        <x:v>15</x:v>
      </x:c>
      <x:c r="H217" s="170" t="str">
        <x:v>Reported as free set plus 2.5 kg/side repeated twice; total loaded-set count To verify</x:v>
      </x:c>
      <x:c r="I217" s="170" t="str">
        <x:v>No pain</x:v>
      </x:c>
      <x:c r="J217" s="170" t="str">
        <x:v>Medium final</x:v>
      </x:c>
      <x:c r="K217" s="170" t="str">
        <x:v>Good</x:v>
      </x:c>
      <x:c r="L217" s="170" t="str">
        <x:v>Preserved as three 2.5 kg/side sets pending verification</x:v>
      </x:c>
      <x:c r="M217" s="170" t="str">
        <x:v>Working</x:v>
      </x:c>
      <x:c r="N217" s="170" t="n">
        <x:v>2</x:v>
      </x:c>
    </x:row>
    <x:row r="218">
      <x:c r="A218" s="220" t="n">
        <x:v>46248</x:v>
      </x:c>
      <x:c r="B218" s="170" t="str">
        <x:v>Shoulders</x:v>
      </x:c>
      <x:c r="C218" s="170" t="str">
        <x:v>Reverse Pec Deck</x:v>
      </x:c>
      <x:c r="D218" s="170" t="n">
        <x:v>1</x:v>
      </x:c>
      <x:c r="E218" s="170" t="n">
        <x:v>25</x:v>
      </x:c>
      <x:c r="F218" s="170" t="str">
        <x:v>kg total stack</x:v>
      </x:c>
      <x:c r="G218" s="170" t="n">
        <x:v>16</x:v>
      </x:c>
      <x:c r="H218" s="170" t="str">
        <x:v>No assistance reported</x:v>
      </x:c>
      <x:c r="I218" s="170" t="str">
        <x:v>No pain</x:v>
      </x:c>
      <x:c r="J218" s="170" t="str">
        <x:v>Medium final</x:v>
      </x:c>
      <x:c r="K218" s="170" t="str">
        <x:v>Good</x:v>
      </x:c>
      <x:c r="L218" s="170"/>
      <x:c r="M218" s="170" t="str">
        <x:v>Working</x:v>
      </x:c>
      <x:c r="N218" s="170" t="n">
        <x:v>3</x:v>
      </x:c>
    </x:row>
    <x:row r="219">
      <x:c r="A219" s="220" t="n">
        <x:v>46248</x:v>
      </x:c>
      <x:c r="B219" s="170" t="str">
        <x:v>Shoulders</x:v>
      </x:c>
      <x:c r="C219" s="170" t="str">
        <x:v>Reverse Pec Deck</x:v>
      </x:c>
      <x:c r="D219" s="170" t="n">
        <x:v>2</x:v>
      </x:c>
      <x:c r="E219" s="170" t="n">
        <x:v>30</x:v>
      </x:c>
      <x:c r="F219" s="170" t="str">
        <x:v>kg total stack</x:v>
      </x:c>
      <x:c r="G219" s="170" t="n">
        <x:v>12</x:v>
      </x:c>
      <x:c r="H219" s="170" t="str">
        <x:v>No assistance reported</x:v>
      </x:c>
      <x:c r="I219" s="170" t="str">
        <x:v>No pain</x:v>
      </x:c>
      <x:c r="J219" s="170" t="str">
        <x:v>Medium final</x:v>
      </x:c>
      <x:c r="K219" s="170" t="str">
        <x:v>Good</x:v>
      </x:c>
      <x:c r="L219" s="170"/>
      <x:c r="M219" s="170" t="str">
        <x:v>Working</x:v>
      </x:c>
      <x:c r="N219" s="170" t="n">
        <x:v>2</x:v>
      </x:c>
    </x:row>
    <x:row r="220">
      <x:c r="A220" s="220" t="n">
        <x:v>46248</x:v>
      </x:c>
      <x:c r="B220" s="170" t="str">
        <x:v>Shoulders</x:v>
      </x:c>
      <x:c r="C220" s="170" t="str">
        <x:v>Reverse Pec Deck</x:v>
      </x:c>
      <x:c r="D220" s="170" t="n">
        <x:v>3</x:v>
      </x:c>
      <x:c r="E220" s="170" t="n">
        <x:v>35</x:v>
      </x:c>
      <x:c r="F220" s="170" t="str">
        <x:v>kg total stack</x:v>
      </x:c>
      <x:c r="G220" s="170" t="n">
        <x:v>10</x:v>
      </x:c>
      <x:c r="H220" s="170" t="str">
        <x:v>No assistance reported</x:v>
      </x:c>
      <x:c r="I220" s="170" t="str">
        <x:v>No pain</x:v>
      </x:c>
      <x:c r="J220" s="170" t="str">
        <x:v>Medium final</x:v>
      </x:c>
      <x:c r="K220" s="170" t="str">
        <x:v>Good</x:v>
      </x:c>
      <x:c r="L220" s="170"/>
      <x:c r="M220" s="170" t="str">
        <x:v>Working</x:v>
      </x:c>
      <x:c r="N220" s="170" t="n">
        <x:v>1</x:v>
      </x:c>
    </x:row>
    <x:row r="221">
      <x:c r="A221" s="220" t="n">
        <x:v>46248</x:v>
      </x:c>
      <x:c r="B221" s="170" t="str">
        <x:v>Shoulders</x:v>
      </x:c>
      <x:c r="C221" s="170" t="str">
        <x:v>Cable Upright Row</x:v>
      </x:c>
      <x:c r="D221" s="170" t="n">
        <x:v>1</x:v>
      </x:c>
      <x:c r="E221" s="170" t="n">
        <x:v>30</x:v>
      </x:c>
      <x:c r="F221" s="170" t="str">
        <x:v>kg total cable stack</x:v>
      </x:c>
      <x:c r="G221" s="170" t="n">
        <x:v>15</x:v>
      </x:c>
      <x:c r="H221" s="170" t="str">
        <x:v>No assistance reported</x:v>
      </x:c>
      <x:c r="I221" s="170" t="str">
        <x:v>No pain</x:v>
      </x:c>
      <x:c r="J221" s="170" t="str">
        <x:v>Medium final</x:v>
      </x:c>
      <x:c r="K221" s="170" t="str">
        <x:v>Good</x:v>
      </x:c>
      <x:c r="L221" s="170"/>
      <x:c r="M221" s="170" t="str">
        <x:v>Working</x:v>
      </x:c>
      <x:c r="N221" s="170" t="n">
        <x:v>3</x:v>
      </x:c>
    </x:row>
    <x:row r="222">
      <x:c r="A222" s="220" t="n">
        <x:v>46248</x:v>
      </x:c>
      <x:c r="B222" s="170" t="str">
        <x:v>Shoulders</x:v>
      </x:c>
      <x:c r="C222" s="170" t="str">
        <x:v>Cable Upright Row</x:v>
      </x:c>
      <x:c r="D222" s="170" t="n">
        <x:v>2</x:v>
      </x:c>
      <x:c r="E222" s="170" t="n">
        <x:v>40</x:v>
      </x:c>
      <x:c r="F222" s="170" t="str">
        <x:v>kg total cable stack</x:v>
      </x:c>
      <x:c r="G222" s="170" t="n">
        <x:v>14</x:v>
      </x:c>
      <x:c r="H222" s="170" t="str">
        <x:v>No assistance reported</x:v>
      </x:c>
      <x:c r="I222" s="170" t="str">
        <x:v>No pain</x:v>
      </x:c>
      <x:c r="J222" s="170" t="str">
        <x:v>Medium final</x:v>
      </x:c>
      <x:c r="K222" s="170" t="str">
        <x:v>Good</x:v>
      </x:c>
      <x:c r="L222" s="170"/>
      <x:c r="M222" s="170" t="str">
        <x:v>Working</x:v>
      </x:c>
      <x:c r="N222" s="170" t="n">
        <x:v>2</x:v>
      </x:c>
    </x:row>
    <x:row r="223">
      <x:c r="A223" s="220" t="n">
        <x:v>46248</x:v>
      </x:c>
      <x:c r="B223" s="170" t="str">
        <x:v>Shoulders</x:v>
      </x:c>
      <x:c r="C223" s="170" t="str">
        <x:v>Cable Upright Row</x:v>
      </x:c>
      <x:c r="D223" s="170" t="n">
        <x:v>3</x:v>
      </x:c>
      <x:c r="E223" s="170" t="n">
        <x:v>50</x:v>
      </x:c>
      <x:c r="F223" s="170" t="str">
        <x:v>kg total cable stack</x:v>
      </x:c>
      <x:c r="G223" s="170" t="n">
        <x:v>14</x:v>
      </x:c>
      <x:c r="H223" s="170" t="str">
        <x:v>No assistance reported</x:v>
      </x:c>
      <x:c r="I223" s="170" t="str">
        <x:v>No pain</x:v>
      </x:c>
      <x:c r="J223" s="170" t="str">
        <x:v>Medium final</x:v>
      </x:c>
      <x:c r="K223" s="170" t="str">
        <x:v>Good</x:v>
      </x:c>
      <x:c r="L223" s="170"/>
      <x:c r="M223" s="170" t="str">
        <x:v>Working</x:v>
      </x:c>
      <x:c r="N223" s="170" t="n">
        <x:v>1</x:v>
      </x:c>
    </x:row>
    <x:row r="224">
      <x:c r="A224" s="220" t="n">
        <x:v>46248</x:v>
      </x:c>
      <x:c r="B224" s="170" t="str">
        <x:v>Shoulders</x:v>
      </x:c>
      <x:c r="C224" s="170" t="str">
        <x:v>Single-Arm Cable Lateral Raise</x:v>
      </x:c>
      <x:c r="D224" s="170" t="n">
        <x:v>1</x:v>
      </x:c>
      <x:c r="E224" s="170" t="n">
        <x:v>5</x:v>
      </x:c>
      <x:c r="F224" s="170" t="str">
        <x:v>kg stack; each arm</x:v>
      </x:c>
      <x:c r="G224" s="170" t="n">
        <x:v>15</x:v>
      </x:c>
      <x:c r="H224" s="170" t="str">
        <x:v>No assistance reported</x:v>
      </x:c>
      <x:c r="I224" s="170" t="str">
        <x:v>No pain</x:v>
      </x:c>
      <x:c r="J224" s="170" t="str">
        <x:v>Medium final</x:v>
      </x:c>
      <x:c r="K224" s="170" t="str">
        <x:v>Good</x:v>
      </x:c>
      <x:c r="L224" s="170"/>
      <x:c r="M224" s="170" t="str">
        <x:v>Working</x:v>
      </x:c>
      <x:c r="N224" s="170" t="n">
        <x:v>3</x:v>
      </x:c>
    </x:row>
    <x:row r="225">
      <x:c r="A225" s="220" t="n">
        <x:v>46248</x:v>
      </x:c>
      <x:c r="B225" s="170" t="str">
        <x:v>Shoulders</x:v>
      </x:c>
      <x:c r="C225" s="170" t="str">
        <x:v>Single-Arm Cable Lateral Raise</x:v>
      </x:c>
      <x:c r="D225" s="170" t="n">
        <x:v>2</x:v>
      </x:c>
      <x:c r="E225" s="170" t="n">
        <x:v>10</x:v>
      </x:c>
      <x:c r="F225" s="170" t="str">
        <x:v>kg stack; each arm</x:v>
      </x:c>
      <x:c r="G225" s="170" t="n">
        <x:v>12</x:v>
      </x:c>
      <x:c r="H225" s="170" t="str">
        <x:v>No assistance reported</x:v>
      </x:c>
      <x:c r="I225" s="170" t="str">
        <x:v>No pain</x:v>
      </x:c>
      <x:c r="J225" s="170" t="str">
        <x:v>Medium final</x:v>
      </x:c>
      <x:c r="K225" s="170" t="str">
        <x:v>Good</x:v>
      </x:c>
      <x:c r="L225" s="170"/>
      <x:c r="M225" s="170" t="str">
        <x:v>Working</x:v>
      </x:c>
      <x:c r="N225" s="170" t="n">
        <x:v>2</x:v>
      </x:c>
    </x:row>
    <x:row r="226">
      <x:c r="A226" s="220" t="n">
        <x:v>46248</x:v>
      </x:c>
      <x:c r="B226" s="170" t="str">
        <x:v>Shoulders</x:v>
      </x:c>
      <x:c r="C226" s="170" t="str">
        <x:v>Dumbbell Shrugs</x:v>
      </x:c>
      <x:c r="D226" s="170" t="n">
        <x:v>1</x:v>
      </x:c>
      <x:c r="E226" s="170" t="n">
        <x:v>30</x:v>
      </x:c>
      <x:c r="F226" s="170" t="str">
        <x:v>kg each dumbbell</x:v>
      </x:c>
      <x:c r="G226" s="170" t="n">
        <x:v>15</x:v>
      </x:c>
      <x:c r="H226" s="170" t="str">
        <x:v>No assistance reported</x:v>
      </x:c>
      <x:c r="I226" s="170" t="str">
        <x:v>No pain</x:v>
      </x:c>
      <x:c r="J226" s="170" t="str">
        <x:v>Medium final</x:v>
      </x:c>
      <x:c r="K226" s="170" t="str">
        <x:v>Good</x:v>
      </x:c>
      <x:c r="L226" s="170"/>
      <x:c r="M226" s="170" t="str">
        <x:v>Working</x:v>
      </x:c>
      <x:c r="N226" s="170" t="n">
        <x:v>2</x:v>
      </x:c>
    </x:row>
    <x:row r="227">
      <x:c r="A227" s="220" t="n">
        <x:v>46248</x:v>
      </x:c>
      <x:c r="B227" s="170" t="str">
        <x:v>Shoulders</x:v>
      </x:c>
      <x:c r="C227" s="170" t="str">
        <x:v>Dumbbell Shrugs</x:v>
      </x:c>
      <x:c r="D227" s="170" t="n">
        <x:v>2</x:v>
      </x:c>
      <x:c r="E227" s="170" t="n">
        <x:v>35</x:v>
      </x:c>
      <x:c r="F227" s="170" t="str">
        <x:v>kg each dumbbell</x:v>
      </x:c>
      <x:c r="G227" s="170" t="n">
        <x:v>12</x:v>
      </x:c>
      <x:c r="H227" s="170" t="str">
        <x:v>No assistance reported</x:v>
      </x:c>
      <x:c r="I227" s="170" t="str">
        <x:v>No pain</x:v>
      </x:c>
      <x:c r="J227" s="170" t="str">
        <x:v>Medium final</x:v>
      </x:c>
      <x:c r="K227" s="170" t="str">
        <x:v>Good</x:v>
      </x:c>
      <x:c r="L227" s="170"/>
      <x:c r="M227" s="170" t="str">
        <x:v>Working</x:v>
      </x:c>
      <x:c r="N227" s="170" t="n">
        <x:v>2</x:v>
      </x:c>
    </x:row>
    <x:row r="228">
      <x:c r="A228" s="220" t="n">
        <x:v>46248</x:v>
      </x:c>
      <x:c r="B228" s="170" t="str">
        <x:v>Shoulders</x:v>
      </x:c>
      <x:c r="C228" s="170" t="str">
        <x:v>Dumbbell Shrugs</x:v>
      </x:c>
      <x:c r="D228" s="170" t="n">
        <x:v>3</x:v>
      </x:c>
      <x:c r="E228" s="170" t="n">
        <x:v>40</x:v>
      </x:c>
      <x:c r="F228" s="170" t="str">
        <x:v>kg each dumbbell</x:v>
      </x:c>
      <x:c r="G228" s="170" t="n">
        <x:v>10</x:v>
      </x:c>
      <x:c r="H228" s="170" t="str">
        <x:v>No assistance reported</x:v>
      </x:c>
      <x:c r="I228" s="170" t="str">
        <x:v>No pain</x:v>
      </x:c>
      <x:c r="J228" s="170" t="str">
        <x:v>Medium final</x:v>
      </x:c>
      <x:c r="K228" s="170" t="str">
        <x:v>Good</x:v>
      </x:c>
      <x:c r="L228" s="170"/>
      <x:c r="M228" s="170" t="str">
        <x:v>Working</x:v>
      </x:c>
      <x:c r="N228" s="170" t="n">
        <x:v>2</x:v>
      </x:c>
    </x:row>
    <x:row r="229">
      <x:c r="A229" s="220" t="n">
        <x:v>46249</x:v>
      </x:c>
      <x:c r="B229" s="170" t="str">
        <x:v>Triceps</x:v>
      </x:c>
      <x:c r="C229" s="170" t="str">
        <x:v>Rope Pushdown</x:v>
      </x:c>
      <x:c r="D229" s="170" t="n">
        <x:v>1</x:v>
      </x:c>
      <x:c r="E229" s="170" t="n">
        <x:v>30</x:v>
      </x:c>
      <x:c r="F229" s="170" t="str">
        <x:v>kg total cable stack</x:v>
      </x:c>
      <x:c r="G229" s="170" t="n">
        <x:v>16</x:v>
      </x:c>
      <x:c r="H229" s="170" t="str">
        <x:v>No forced repetitions</x:v>
      </x:c>
      <x:c r="I229" s="170" t="str">
        <x:v>No pain</x:v>
      </x:c>
      <x:c r="J229" s="170" t="str">
        <x:v>Medium final</x:v>
      </x:c>
      <x:c r="K229" s="170" t="str">
        <x:v>Very good</x:v>
      </x:c>
      <x:c r="L229" s="170" t="str">
        <x:v>20 direct sets exceeded planned 18-set cap</x:v>
      </x:c>
      <x:c r="M229" s="170" t="str">
        <x:v>Working</x:v>
      </x:c>
      <x:c r="N229" s="170" t="n">
        <x:v>3</x:v>
      </x:c>
    </x:row>
    <x:row r="230">
      <x:c r="A230" s="220" t="n">
        <x:v>46249</x:v>
      </x:c>
      <x:c r="B230" s="170" t="str">
        <x:v>Triceps</x:v>
      </x:c>
      <x:c r="C230" s="170" t="str">
        <x:v>Rope Pushdown</x:v>
      </x:c>
      <x:c r="D230" s="170" t="n">
        <x:v>2</x:v>
      </x:c>
      <x:c r="E230" s="170" t="n">
        <x:v>35</x:v>
      </x:c>
      <x:c r="F230" s="170" t="str">
        <x:v>kg total cable stack</x:v>
      </x:c>
      <x:c r="G230" s="170" t="n">
        <x:v>13</x:v>
      </x:c>
      <x:c r="H230" s="170" t="str">
        <x:v>No forced repetitions</x:v>
      </x:c>
      <x:c r="I230" s="170" t="str">
        <x:v>No pain</x:v>
      </x:c>
      <x:c r="J230" s="170" t="str">
        <x:v>Medium final</x:v>
      </x:c>
      <x:c r="K230" s="170" t="str">
        <x:v>Very good</x:v>
      </x:c>
      <x:c r="L230" s="170" t="str">
        <x:v>20 direct sets exceeded planned 18-set cap</x:v>
      </x:c>
      <x:c r="M230" s="170" t="str">
        <x:v>Working</x:v>
      </x:c>
      <x:c r="N230" s="170" t="n">
        <x:v>3</x:v>
      </x:c>
    </x:row>
    <x:row r="231">
      <x:c r="A231" s="220" t="n">
        <x:v>46249</x:v>
      </x:c>
      <x:c r="B231" s="170" t="str">
        <x:v>Triceps</x:v>
      </x:c>
      <x:c r="C231" s="170" t="str">
        <x:v>Rope Pushdown</x:v>
      </x:c>
      <x:c r="D231" s="170" t="n">
        <x:v>3</x:v>
      </x:c>
      <x:c r="E231" s="170" t="n">
        <x:v>40</x:v>
      </x:c>
      <x:c r="F231" s="170" t="str">
        <x:v>kg total cable stack</x:v>
      </x:c>
      <x:c r="G231" s="170" t="n">
        <x:v>10</x:v>
      </x:c>
      <x:c r="H231" s="170" t="str">
        <x:v>No forced repetitions</x:v>
      </x:c>
      <x:c r="I231" s="170" t="str">
        <x:v>No pain</x:v>
      </x:c>
      <x:c r="J231" s="170" t="str">
        <x:v>Medium final</x:v>
      </x:c>
      <x:c r="K231" s="170" t="str">
        <x:v>Very good</x:v>
      </x:c>
      <x:c r="L231" s="170" t="str">
        <x:v>20 direct sets exceeded planned 18-set cap</x:v>
      </x:c>
      <x:c r="M231" s="170" t="str">
        <x:v>Working</x:v>
      </x:c>
      <x:c r="N231" s="170" t="n">
        <x:v>2</x:v>
      </x:c>
    </x:row>
    <x:row r="232">
      <x:c r="A232" s="220" t="n">
        <x:v>46249</x:v>
      </x:c>
      <x:c r="B232" s="170" t="str">
        <x:v>Triceps</x:v>
      </x:c>
      <x:c r="C232" s="170" t="str">
        <x:v>Rope Pushdown</x:v>
      </x:c>
      <x:c r="D232" s="170" t="n">
        <x:v>4</x:v>
      </x:c>
      <x:c r="E232" s="170" t="n">
        <x:v>40</x:v>
      </x:c>
      <x:c r="F232" s="170" t="str">
        <x:v>kg total cable stack</x:v>
      </x:c>
      <x:c r="G232" s="170" t="n">
        <x:v>10</x:v>
      </x:c>
      <x:c r="H232" s="170" t="str">
        <x:v>No forced repetitions</x:v>
      </x:c>
      <x:c r="I232" s="170" t="str">
        <x:v>No pain</x:v>
      </x:c>
      <x:c r="J232" s="170" t="str">
        <x:v>Medium final</x:v>
      </x:c>
      <x:c r="K232" s="170" t="str">
        <x:v>Very good</x:v>
      </x:c>
      <x:c r="L232" s="170" t="str">
        <x:v>20 direct sets exceeded planned 18-set cap</x:v>
      </x:c>
      <x:c r="M232" s="170" t="str">
        <x:v>Working</x:v>
      </x:c>
      <x:c r="N232" s="170" t="n">
        <x:v>2</x:v>
      </x:c>
    </x:row>
    <x:row r="233">
      <x:c r="A233" s="220" t="n">
        <x:v>46249</x:v>
      </x:c>
      <x:c r="B233" s="170" t="str">
        <x:v>Triceps</x:v>
      </x:c>
      <x:c r="C233" s="170" t="str">
        <x:v>Straight-Bar Pushdown</x:v>
      </x:c>
      <x:c r="D233" s="170" t="n">
        <x:v>1</x:v>
      </x:c>
      <x:c r="E233" s="170" t="n">
        <x:v>45</x:v>
      </x:c>
      <x:c r="F233" s="170" t="str">
        <x:v>kg total cable stack</x:v>
      </x:c>
      <x:c r="G233" s="170" t="n">
        <x:v>15</x:v>
      </x:c>
      <x:c r="H233" s="170" t="str">
        <x:v>No forced repetitions</x:v>
      </x:c>
      <x:c r="I233" s="170" t="str">
        <x:v>No pain</x:v>
      </x:c>
      <x:c r="J233" s="170" t="str">
        <x:v>Medium final</x:v>
      </x:c>
      <x:c r="K233" s="170" t="str">
        <x:v>Very good</x:v>
      </x:c>
      <x:c r="L233" s="170" t="str">
        <x:v>20 direct sets exceeded planned 18-set cap</x:v>
      </x:c>
      <x:c r="M233" s="170" t="str">
        <x:v>Working</x:v>
      </x:c>
      <x:c r="N233" s="170" t="n">
        <x:v>2</x:v>
      </x:c>
    </x:row>
    <x:row r="234">
      <x:c r="A234" s="220" t="n">
        <x:v>46249</x:v>
      </x:c>
      <x:c r="B234" s="170" t="str">
        <x:v>Triceps</x:v>
      </x:c>
      <x:c r="C234" s="170" t="str">
        <x:v>Straight-Bar Pushdown</x:v>
      </x:c>
      <x:c r="D234" s="170" t="n">
        <x:v>2</x:v>
      </x:c>
      <x:c r="E234" s="170" t="n">
        <x:v>50</x:v>
      </x:c>
      <x:c r="F234" s="170" t="str">
        <x:v>kg total cable stack</x:v>
      </x:c>
      <x:c r="G234" s="170" t="n">
        <x:v>13</x:v>
      </x:c>
      <x:c r="H234" s="170" t="str">
        <x:v>No forced repetitions</x:v>
      </x:c>
      <x:c r="I234" s="170" t="str">
        <x:v>No pain</x:v>
      </x:c>
      <x:c r="J234" s="170" t="str">
        <x:v>Medium final</x:v>
      </x:c>
      <x:c r="K234" s="170" t="str">
        <x:v>Very good</x:v>
      </x:c>
      <x:c r="L234" s="170" t="str">
        <x:v>20 direct sets exceeded planned 18-set cap</x:v>
      </x:c>
      <x:c r="M234" s="170" t="str">
        <x:v>Working</x:v>
      </x:c>
      <x:c r="N234" s="170" t="n">
        <x:v>2</x:v>
      </x:c>
    </x:row>
    <x:row r="235">
      <x:c r="A235" s="220" t="n">
        <x:v>46249</x:v>
      </x:c>
      <x:c r="B235" s="170" t="str">
        <x:v>Triceps</x:v>
      </x:c>
      <x:c r="C235" s="170" t="str">
        <x:v>Straight-Bar Pushdown</x:v>
      </x:c>
      <x:c r="D235" s="170" t="n">
        <x:v>3</x:v>
      </x:c>
      <x:c r="E235" s="170" t="n">
        <x:v>55</x:v>
      </x:c>
      <x:c r="F235" s="170" t="str">
        <x:v>kg total cable stack</x:v>
      </x:c>
      <x:c r="G235" s="170" t="n">
        <x:v>10</x:v>
      </x:c>
      <x:c r="H235" s="170" t="str">
        <x:v>No forced repetitions</x:v>
      </x:c>
      <x:c r="I235" s="170" t="str">
        <x:v>No pain</x:v>
      </x:c>
      <x:c r="J235" s="170" t="str">
        <x:v>Medium final</x:v>
      </x:c>
      <x:c r="K235" s="170" t="str">
        <x:v>Very good</x:v>
      </x:c>
      <x:c r="L235" s="170" t="str">
        <x:v>20 direct sets exceeded planned 18-set cap</x:v>
      </x:c>
      <x:c r="M235" s="170" t="str">
        <x:v>Working</x:v>
      </x:c>
      <x:c r="N235" s="170" t="n">
        <x:v>2</x:v>
      </x:c>
    </x:row>
    <x:row r="236">
      <x:c r="A236" s="220" t="n">
        <x:v>46249</x:v>
      </x:c>
      <x:c r="B236" s="170" t="str">
        <x:v>Triceps</x:v>
      </x:c>
      <x:c r="C236" s="170" t="str">
        <x:v>Straight-Bar Pushdown</x:v>
      </x:c>
      <x:c r="D236" s="170" t="n">
        <x:v>4</x:v>
      </x:c>
      <x:c r="E236" s="170" t="n">
        <x:v>60</x:v>
      </x:c>
      <x:c r="F236" s="170" t="str">
        <x:v>kg total cable stack</x:v>
      </x:c>
      <x:c r="G236" s="170" t="n">
        <x:v>8</x:v>
      </x:c>
      <x:c r="H236" s="170" t="str">
        <x:v>No forced repetitions</x:v>
      </x:c>
      <x:c r="I236" s="170" t="str">
        <x:v>No pain</x:v>
      </x:c>
      <x:c r="J236" s="170" t="str">
        <x:v>Medium final</x:v>
      </x:c>
      <x:c r="K236" s="170" t="str">
        <x:v>Very good</x:v>
      </x:c>
      <x:c r="L236" s="170" t="str">
        <x:v>20 direct sets exceeded planned 18-set cap</x:v>
      </x:c>
      <x:c r="M236" s="170" t="str">
        <x:v>Working</x:v>
      </x:c>
      <x:c r="N236" s="170" t="n">
        <x:v>1</x:v>
      </x:c>
    </x:row>
    <x:row r="237">
      <x:c r="A237" s="220" t="n">
        <x:v>46249</x:v>
      </x:c>
      <x:c r="B237" s="170" t="str">
        <x:v>Triceps</x:v>
      </x:c>
      <x:c r="C237" s="170" t="str">
        <x:v>Overhead Rope Extension</x:v>
      </x:c>
      <x:c r="D237" s="170" t="n">
        <x:v>1</x:v>
      </x:c>
      <x:c r="E237" s="170" t="n">
        <x:v>30</x:v>
      </x:c>
      <x:c r="F237" s="170" t="str">
        <x:v>kg total cable stack</x:v>
      </x:c>
      <x:c r="G237" s="170" t="n">
        <x:v>15</x:v>
      </x:c>
      <x:c r="H237" s="170" t="str">
        <x:v>No forced repetitions</x:v>
      </x:c>
      <x:c r="I237" s="170" t="str">
        <x:v>No pain</x:v>
      </x:c>
      <x:c r="J237" s="170" t="str">
        <x:v>Medium final</x:v>
      </x:c>
      <x:c r="K237" s="170" t="str">
        <x:v>Very good</x:v>
      </x:c>
      <x:c r="L237" s="170" t="str">
        <x:v>20 direct sets exceeded planned 18-set cap</x:v>
      </x:c>
      <x:c r="M237" s="170" t="str">
        <x:v>Working</x:v>
      </x:c>
      <x:c r="N237" s="170" t="n">
        <x:v>3</x:v>
      </x:c>
    </x:row>
    <x:row r="238">
      <x:c r="A238" s="220" t="n">
        <x:v>46249</x:v>
      </x:c>
      <x:c r="B238" s="170" t="str">
        <x:v>Triceps</x:v>
      </x:c>
      <x:c r="C238" s="170" t="str">
        <x:v>Overhead Rope Extension</x:v>
      </x:c>
      <x:c r="D238" s="170" t="n">
        <x:v>2</x:v>
      </x:c>
      <x:c r="E238" s="170" t="n">
        <x:v>35</x:v>
      </x:c>
      <x:c r="F238" s="170" t="str">
        <x:v>kg total cable stack</x:v>
      </x:c>
      <x:c r="G238" s="170" t="n">
        <x:v>12</x:v>
      </x:c>
      <x:c r="H238" s="170" t="str">
        <x:v>No forced repetitions</x:v>
      </x:c>
      <x:c r="I238" s="170" t="str">
        <x:v>No pain</x:v>
      </x:c>
      <x:c r="J238" s="170" t="str">
        <x:v>Medium final</x:v>
      </x:c>
      <x:c r="K238" s="170" t="str">
        <x:v>Very good</x:v>
      </x:c>
      <x:c r="L238" s="170" t="str">
        <x:v>20 direct sets exceeded planned 18-set cap</x:v>
      </x:c>
      <x:c r="M238" s="170" t="str">
        <x:v>Working</x:v>
      </x:c>
      <x:c r="N238" s="170" t="n">
        <x:v>2</x:v>
      </x:c>
    </x:row>
    <x:row r="239">
      <x:c r="A239" s="220" t="n">
        <x:v>46249</x:v>
      </x:c>
      <x:c r="B239" s="170" t="str">
        <x:v>Triceps</x:v>
      </x:c>
      <x:c r="C239" s="170" t="str">
        <x:v>Overhead Rope Extension</x:v>
      </x:c>
      <x:c r="D239" s="170" t="n">
        <x:v>3</x:v>
      </x:c>
      <x:c r="E239" s="170" t="n">
        <x:v>40</x:v>
      </x:c>
      <x:c r="F239" s="170" t="str">
        <x:v>kg total cable stack</x:v>
      </x:c>
      <x:c r="G239" s="170" t="n">
        <x:v>10</x:v>
      </x:c>
      <x:c r="H239" s="170" t="str">
        <x:v>No forced repetitions</x:v>
      </x:c>
      <x:c r="I239" s="170" t="str">
        <x:v>No pain</x:v>
      </x:c>
      <x:c r="J239" s="170" t="str">
        <x:v>Medium final</x:v>
      </x:c>
      <x:c r="K239" s="170" t="str">
        <x:v>Very good</x:v>
      </x:c>
      <x:c r="L239" s="170" t="str">
        <x:v>20 direct sets exceeded planned 18-set cap</x:v>
      </x:c>
      <x:c r="M239" s="170" t="str">
        <x:v>Working</x:v>
      </x:c>
      <x:c r="N239" s="170" t="n">
        <x:v>2</x:v>
      </x:c>
    </x:row>
    <x:row r="240">
      <x:c r="A240" s="220" t="n">
        <x:v>46249</x:v>
      </x:c>
      <x:c r="B240" s="170" t="str">
        <x:v>Triceps</x:v>
      </x:c>
      <x:c r="C240" s="170" t="str">
        <x:v>Single-Arm Cable Pushdown</x:v>
      </x:c>
      <x:c r="D240" s="170" t="n">
        <x:v>1</x:v>
      </x:c>
      <x:c r="E240" s="170" t="n">
        <x:v>10</x:v>
      </x:c>
      <x:c r="F240" s="170" t="str">
        <x:v>kg stack; each arm</x:v>
      </x:c>
      <x:c r="G240" s="170" t="n">
        <x:v>15</x:v>
      </x:c>
      <x:c r="H240" s="170" t="str">
        <x:v>No forced repetitions</x:v>
      </x:c>
      <x:c r="I240" s="170" t="str">
        <x:v>No pain</x:v>
      </x:c>
      <x:c r="J240" s="170" t="str">
        <x:v>Medium final</x:v>
      </x:c>
      <x:c r="K240" s="170" t="str">
        <x:v>Very good</x:v>
      </x:c>
      <x:c r="L240" s="170" t="str">
        <x:v>20 direct sets exceeded planned 18-set cap</x:v>
      </x:c>
      <x:c r="M240" s="170" t="str">
        <x:v>Working</x:v>
      </x:c>
      <x:c r="N240" s="170" t="n">
        <x:v>3</x:v>
      </x:c>
    </x:row>
    <x:row r="241">
      <x:c r="A241" s="220" t="n">
        <x:v>46249</x:v>
      </x:c>
      <x:c r="B241" s="170" t="str">
        <x:v>Triceps</x:v>
      </x:c>
      <x:c r="C241" s="170" t="str">
        <x:v>Single-Arm Cable Pushdown</x:v>
      </x:c>
      <x:c r="D241" s="170" t="n">
        <x:v>2</x:v>
      </x:c>
      <x:c r="E241" s="170" t="n">
        <x:v>15</x:v>
      </x:c>
      <x:c r="F241" s="170" t="str">
        <x:v>kg stack; each arm</x:v>
      </x:c>
      <x:c r="G241" s="170" t="n">
        <x:v>10</x:v>
      </x:c>
      <x:c r="H241" s="170" t="str">
        <x:v>No forced repetitions</x:v>
      </x:c>
      <x:c r="I241" s="170" t="str">
        <x:v>No pain</x:v>
      </x:c>
      <x:c r="J241" s="170" t="str">
        <x:v>Medium final</x:v>
      </x:c>
      <x:c r="K241" s="170" t="str">
        <x:v>Very good</x:v>
      </x:c>
      <x:c r="L241" s="170" t="str">
        <x:v>20 direct sets exceeded planned 18-set cap</x:v>
      </x:c>
      <x:c r="M241" s="170" t="str">
        <x:v>Working</x:v>
      </x:c>
      <x:c r="N241" s="170" t="n">
        <x:v>1</x:v>
      </x:c>
    </x:row>
    <x:row r="242">
      <x:c r="A242" s="220" t="n">
        <x:v>46249</x:v>
      </x:c>
      <x:c r="B242" s="170" t="str">
        <x:v>Triceps</x:v>
      </x:c>
      <x:c r="C242" s="170" t="str">
        <x:v>Single-Arm Cable Pushdown</x:v>
      </x:c>
      <x:c r="D242" s="170" t="n">
        <x:v>3</x:v>
      </x:c>
      <x:c r="E242" s="170" t="n">
        <x:v>15</x:v>
      </x:c>
      <x:c r="F242" s="170" t="str">
        <x:v>kg stack; each arm</x:v>
      </x:c>
      <x:c r="G242" s="170" t="n">
        <x:v>10</x:v>
      </x:c>
      <x:c r="H242" s="170" t="str">
        <x:v>No forced repetitions</x:v>
      </x:c>
      <x:c r="I242" s="170" t="str">
        <x:v>No pain</x:v>
      </x:c>
      <x:c r="J242" s="170" t="str">
        <x:v>Medium final</x:v>
      </x:c>
      <x:c r="K242" s="170" t="str">
        <x:v>Very good</x:v>
      </x:c>
      <x:c r="L242" s="170" t="str">
        <x:v>20 direct sets exceeded planned 18-set cap</x:v>
      </x:c>
      <x:c r="M242" s="170" t="str">
        <x:v>Working</x:v>
      </x:c>
      <x:c r="N242" s="170" t="n">
        <x:v>1</x:v>
      </x:c>
    </x:row>
    <x:row r="243">
      <x:c r="A243" s="220" t="n">
        <x:v>46249</x:v>
      </x:c>
      <x:c r="B243" s="170" t="str">
        <x:v>Triceps</x:v>
      </x:c>
      <x:c r="C243" s="170" t="str">
        <x:v>Seated Two-Hand Overhead Dumbbell Extension</x:v>
      </x:c>
      <x:c r="D243" s="170" t="n">
        <x:v>1</x:v>
      </x:c>
      <x:c r="E243" s="170" t="n">
        <x:v>20</x:v>
      </x:c>
      <x:c r="F243" s="170" t="str">
        <x:v>kg total dumbbell</x:v>
      </x:c>
      <x:c r="G243" s="170" t="n">
        <x:v>15</x:v>
      </x:c>
      <x:c r="H243" s="170" t="str">
        <x:v>No forced repetitions</x:v>
      </x:c>
      <x:c r="I243" s="170" t="str">
        <x:v>No pain</x:v>
      </x:c>
      <x:c r="J243" s="170" t="str">
        <x:v>Medium final</x:v>
      </x:c>
      <x:c r="K243" s="170" t="str">
        <x:v>Very good</x:v>
      </x:c>
      <x:c r="L243" s="170" t="str">
        <x:v>20 direct sets exceeded planned 18-set cap</x:v>
      </x:c>
      <x:c r="M243" s="170" t="str">
        <x:v>Working</x:v>
      </x:c>
      <x:c r="N243" s="170" t="n">
        <x:v>2</x:v>
      </x:c>
    </x:row>
    <x:row r="244">
      <x:c r="A244" s="220" t="n">
        <x:v>46249</x:v>
      </x:c>
      <x:c r="B244" s="170" t="str">
        <x:v>Triceps</x:v>
      </x:c>
      <x:c r="C244" s="170" t="str">
        <x:v>Seated Two-Hand Overhead Dumbbell Extension</x:v>
      </x:c>
      <x:c r="D244" s="170" t="n">
        <x:v>2</x:v>
      </x:c>
      <x:c r="E244" s="170" t="n">
        <x:v>22.5</x:v>
      </x:c>
      <x:c r="F244" s="170" t="str">
        <x:v>kg total dumbbell</x:v>
      </x:c>
      <x:c r="G244" s="170" t="n">
        <x:v>12</x:v>
      </x:c>
      <x:c r="H244" s="170" t="str">
        <x:v>No forced repetitions</x:v>
      </x:c>
      <x:c r="I244" s="170" t="str">
        <x:v>No pain</x:v>
      </x:c>
      <x:c r="J244" s="170" t="str">
        <x:v>Medium final</x:v>
      </x:c>
      <x:c r="K244" s="170" t="str">
        <x:v>Very good</x:v>
      </x:c>
      <x:c r="L244" s="170" t="str">
        <x:v>20 direct sets exceeded planned 18-set cap</x:v>
      </x:c>
      <x:c r="M244" s="170" t="str">
        <x:v>Working</x:v>
      </x:c>
      <x:c r="N244" s="170" t="n">
        <x:v>2</x:v>
      </x:c>
    </x:row>
    <x:row r="245">
      <x:c r="A245" s="220" t="n">
        <x:v>46249</x:v>
      </x:c>
      <x:c r="B245" s="170" t="str">
        <x:v>Triceps</x:v>
      </x:c>
      <x:c r="C245" s="170" t="str">
        <x:v>Seated Two-Hand Overhead Dumbbell Extension</x:v>
      </x:c>
      <x:c r="D245" s="170" t="n">
        <x:v>3</x:v>
      </x:c>
      <x:c r="E245" s="170" t="n">
        <x:v>25</x:v>
      </x:c>
      <x:c r="F245" s="170" t="str">
        <x:v>kg total dumbbell</x:v>
      </x:c>
      <x:c r="G245" s="170" t="n">
        <x:v>10</x:v>
      </x:c>
      <x:c r="H245" s="170" t="str">
        <x:v>No forced repetitions</x:v>
      </x:c>
      <x:c r="I245" s="170" t="str">
        <x:v>No pain</x:v>
      </x:c>
      <x:c r="J245" s="170" t="str">
        <x:v>Medium final</x:v>
      </x:c>
      <x:c r="K245" s="170" t="str">
        <x:v>Very good</x:v>
      </x:c>
      <x:c r="L245" s="170" t="str">
        <x:v>20 direct sets exceeded planned 18-set cap</x:v>
      </x:c>
      <x:c r="M245" s="170" t="str">
        <x:v>Working</x:v>
      </x:c>
      <x:c r="N245" s="170" t="n">
        <x:v>2</x:v>
      </x:c>
    </x:row>
    <x:row r="246">
      <x:c r="A246" s="220" t="n">
        <x:v>46249</x:v>
      </x:c>
      <x:c r="B246" s="170" t="str">
        <x:v>Triceps</x:v>
      </x:c>
      <x:c r="C246" s="170" t="str">
        <x:v>Assisted Dip Machine</x:v>
      </x:c>
      <x:c r="D246" s="170" t="n">
        <x:v>1</x:v>
      </x:c>
      <x:c r="E246" s="170" t="n">
        <x:v>70</x:v>
      </x:c>
      <x:c r="F246" s="170" t="str">
        <x:v>kg machine assistance; higher = easier</x:v>
      </x:c>
      <x:c r="G246" s="170" t="n">
        <x:v>15</x:v>
      </x:c>
      <x:c r="H246" s="170" t="str">
        <x:v>Controlled depth confirmed</x:v>
      </x:c>
      <x:c r="I246" s="170" t="str">
        <x:v>No pain</x:v>
      </x:c>
      <x:c r="J246" s="170" t="str">
        <x:v>Medium final</x:v>
      </x:c>
      <x:c r="K246" s="170" t="str">
        <x:v>Very good</x:v>
      </x:c>
      <x:c r="L246" s="170" t="str">
        <x:v>20 direct sets exceeded planned 18-set cap</x:v>
      </x:c>
      <x:c r="M246" s="170" t="str">
        <x:v>Working</x:v>
      </x:c>
      <x:c r="N246" s="170" t="n">
        <x:v>3</x:v>
      </x:c>
    </x:row>
    <x:row r="247">
      <x:c r="A247" s="220" t="n">
        <x:v>46249</x:v>
      </x:c>
      <x:c r="B247" s="170" t="str">
        <x:v>Triceps</x:v>
      </x:c>
      <x:c r="C247" s="170" t="str">
        <x:v>Assisted Dip Machine</x:v>
      </x:c>
      <x:c r="D247" s="170" t="n">
        <x:v>2</x:v>
      </x:c>
      <x:c r="E247" s="170" t="n">
        <x:v>60</x:v>
      </x:c>
      <x:c r="F247" s="170" t="str">
        <x:v>kg machine assistance; higher = easier</x:v>
      </x:c>
      <x:c r="G247" s="170" t="n">
        <x:v>13</x:v>
      </x:c>
      <x:c r="H247" s="170" t="str">
        <x:v>Controlled depth confirmed</x:v>
      </x:c>
      <x:c r="I247" s="170" t="str">
        <x:v>No pain</x:v>
      </x:c>
      <x:c r="J247" s="170" t="str">
        <x:v>Medium final</x:v>
      </x:c>
      <x:c r="K247" s="170" t="str">
        <x:v>Very good</x:v>
      </x:c>
      <x:c r="L247" s="170" t="str">
        <x:v>20 direct sets exceeded planned 18-set cap</x:v>
      </x:c>
      <x:c r="M247" s="170" t="str">
        <x:v>Working</x:v>
      </x:c>
      <x:c r="N247" s="170" t="n">
        <x:v>2</x:v>
      </x:c>
    </x:row>
    <x:row r="248">
      <x:c r="A248" s="220" t="n">
        <x:v>46249</x:v>
      </x:c>
      <x:c r="B248" s="170" t="str">
        <x:v>Triceps</x:v>
      </x:c>
      <x:c r="C248" s="170" t="str">
        <x:v>Assisted Dip Machine</x:v>
      </x:c>
      <x:c r="D248" s="170" t="n">
        <x:v>3</x:v>
      </x:c>
      <x:c r="E248" s="170" t="n">
        <x:v>50</x:v>
      </x:c>
      <x:c r="F248" s="170" t="str">
        <x:v>kg machine assistance; higher = easier</x:v>
      </x:c>
      <x:c r="G248" s="170" t="n">
        <x:v>8</x:v>
      </x:c>
      <x:c r="H248" s="170" t="str">
        <x:v>Controlled depth confirmed</x:v>
      </x:c>
      <x:c r="I248" s="170" t="str">
        <x:v>No pain</x:v>
      </x:c>
      <x:c r="J248" s="170" t="str">
        <x:v>Medium final</x:v>
      </x:c>
      <x:c r="K248" s="170" t="str">
        <x:v>Very good</x:v>
      </x:c>
      <x:c r="L248" s="170" t="str">
        <x:v>20 direct sets exceeded planned 18-set cap</x:v>
      </x:c>
      <x:c r="M248" s="170" t="str">
        <x:v>Working</x:v>
      </x:c>
      <x:c r="N248" s="170" t="n">
        <x:v>1</x:v>
      </x:c>
    </x:row>
    <x:row r="249">
      <x:c r="A249" s="220" t="n">
        <x:v>46249</x:v>
      </x:c>
      <x:c r="B249" s="170" t="str">
        <x:v>Triceps</x:v>
      </x:c>
      <x:c r="C249" s="170" t="str">
        <x:v>Treadmill Incline Walk</x:v>
      </x:c>
      <x:c r="D249" s="170" t="n">
        <x:v>1</x:v>
      </x:c>
      <x:c r="E249" s="170" t="str">
        <x:v>10 minutes</x:v>
      </x:c>
      <x:c r="F249" s="170" t="str">
        <x:v>6% incline; speed display 4 (unit To verify)</x:v>
      </x:c>
      <x:c r="G249" s="170" t="str">
        <x:v>Completed</x:v>
      </x:c>
      <x:c r="H249" s="170" t="str">
        <x:v>Post-lifting finisher</x:v>
      </x:c>
      <x:c r="I249" s="170" t="str">
        <x:v>No pain</x:v>
      </x:c>
      <x:c r="J249" s="170" t="str">
        <x:v>Energetic enough for finisher</x:v>
      </x:c>
      <x:c r="K249" s="170" t="str">
        <x:v>Very good</x:v>
      </x:c>
      <x:c r="L249" s="170" t="str">
        <x:v>Speed unit remains To verify</x:v>
      </x:c>
      <x:c r="M249" s="170" t="str">
        <x:v>Finisher</x:v>
      </x:c>
      <x:c r="N249" s="170" t="str">
        <x:v>Not applicable</x:v>
      </x:c>
    </x:row>
    <x:row r="250">
      <x:c r="A250" s="220" t="n">
        <x:v>46249</x:v>
      </x:c>
      <x:c r="B250" s="170" t="str">
        <x:v>Triceps</x:v>
      </x:c>
      <x:c r="C250" s="170" t="str">
        <x:v>Front Plank</x:v>
      </x:c>
      <x:c r="D250" s="170" t="n">
        <x:v>1</x:v>
      </x:c>
      <x:c r="E250" s="170" t="str">
        <x:v>Body weight</x:v>
      </x:c>
      <x:c r="F250" s="170" t="str">
        <x:v>seconds</x:v>
      </x:c>
      <x:c r="G250" s="170" t="n">
        <x:v>60</x:v>
      </x:c>
      <x:c r="H250" s="170" t="str">
        <x:v>Form and reserve To verify</x:v>
      </x:c>
      <x:c r="I250" s="170" t="str">
        <x:v>No pain</x:v>
      </x:c>
      <x:c r="J250" s="170" t="str">
        <x:v>Energetic enough for finisher</x:v>
      </x:c>
      <x:c r="K250" s="170" t="str">
        <x:v>Very good</x:v>
      </x:c>
      <x:c r="L250" s="170"/>
      <x:c r="M250" s="170" t="str">
        <x:v>Finisher</x:v>
      </x:c>
      <x:c r="N250" s="170" t="str">
        <x:v>To verify</x:v>
      </x:c>
    </x:row>
    <x:row r="251">
      <x:c r="A251" s="220" t="n">
        <x:v>46249</x:v>
      </x:c>
      <x:c r="B251" s="170" t="str">
        <x:v>Triceps</x:v>
      </x:c>
      <x:c r="C251" s="170" t="str">
        <x:v>Front Plank</x:v>
      </x:c>
      <x:c r="D251" s="170" t="n">
        <x:v>2</x:v>
      </x:c>
      <x:c r="E251" s="170" t="str">
        <x:v>Body weight</x:v>
      </x:c>
      <x:c r="F251" s="170" t="str">
        <x:v>seconds</x:v>
      </x:c>
      <x:c r="G251" s="170" t="n">
        <x:v>60</x:v>
      </x:c>
      <x:c r="H251" s="170" t="str">
        <x:v>Form and reserve To verify</x:v>
      </x:c>
      <x:c r="I251" s="170" t="str">
        <x:v>No pain</x:v>
      </x:c>
      <x:c r="J251" s="170" t="str">
        <x:v>Energetic enough for finisher</x:v>
      </x:c>
      <x:c r="K251" s="170" t="str">
        <x:v>Very good</x:v>
      </x:c>
      <x:c r="L251" s="170"/>
      <x:c r="M251" s="170" t="str">
        <x:v>Finisher</x:v>
      </x:c>
      <x:c r="N251" s="170" t="str">
        <x:v>To verify</x:v>
      </x:c>
    </x:row>
    <x:row r="252">
      <x:c r="A252" s="220" t="n">
        <x:v>46251</x:v>
      </x:c>
      <x:c r="B252" s="170" t="str">
        <x:v>Back</x:v>
      </x:c>
      <x:c r="C252" s="170" t="str">
        <x:v>Lat Pulldown</x:v>
      </x:c>
      <x:c r="D252" s="170" t="n">
        <x:v>1</x:v>
      </x:c>
      <x:c r="E252" s="170" t="n">
        <x:v>45</x:v>
      </x:c>
      <x:c r="F252" s="170" t="str">
        <x:v>kg total cable stack</x:v>
      </x:c>
      <x:c r="G252" s="170" t="n">
        <x:v>15</x:v>
      </x:c>
      <x:c r="H252" s="170" t="str">
        <x:v>Controlled-form detail To verify</x:v>
      </x:c>
      <x:c r="I252" s="170" t="str">
        <x:v>Lower-back muscular pump after session; no pain; no shoulder/elbow pain</x:v>
      </x:c>
      <x:c r="J252" s="170" t="str">
        <x:v>Low final</x:v>
      </x:c>
      <x:c r="K252" s="170" t="str">
        <x:v>Good</x:v>
      </x:c>
      <x:c r="L252" s="170"/>
      <x:c r="M252" s="170" t="str">
        <x:v>Working</x:v>
      </x:c>
      <x:c r="N252" s="170" t="n">
        <x:v>2</x:v>
      </x:c>
    </x:row>
    <x:row r="253">
      <x:c r="A253" s="220" t="n">
        <x:v>46251</x:v>
      </x:c>
      <x:c r="B253" s="170" t="str">
        <x:v>Back</x:v>
      </x:c>
      <x:c r="C253" s="170" t="str">
        <x:v>Lat Pulldown</x:v>
      </x:c>
      <x:c r="D253" s="170" t="n">
        <x:v>2</x:v>
      </x:c>
      <x:c r="E253" s="170" t="n">
        <x:v>50</x:v>
      </x:c>
      <x:c r="F253" s="170" t="str">
        <x:v>kg total cable stack</x:v>
      </x:c>
      <x:c r="G253" s="170" t="n">
        <x:v>12</x:v>
      </x:c>
      <x:c r="H253" s="170" t="str">
        <x:v>Controlled-form detail To verify</x:v>
      </x:c>
      <x:c r="I253" s="170" t="str">
        <x:v>Lower-back muscular pump after session; no pain; no shoulder/elbow pain</x:v>
      </x:c>
      <x:c r="J253" s="170" t="str">
        <x:v>Low final</x:v>
      </x:c>
      <x:c r="K253" s="170" t="str">
        <x:v>Good</x:v>
      </x:c>
      <x:c r="L253" s="170"/>
      <x:c r="M253" s="170" t="str">
        <x:v>Working</x:v>
      </x:c>
      <x:c r="N253" s="170" t="n">
        <x:v>2</x:v>
      </x:c>
    </x:row>
    <x:row r="254">
      <x:c r="A254" s="220" t="n">
        <x:v>46251</x:v>
      </x:c>
      <x:c r="B254" s="170" t="str">
        <x:v>Back</x:v>
      </x:c>
      <x:c r="C254" s="170" t="str">
        <x:v>Lat Pulldown</x:v>
      </x:c>
      <x:c r="D254" s="170" t="n">
        <x:v>3</x:v>
      </x:c>
      <x:c r="E254" s="170" t="n">
        <x:v>55</x:v>
      </x:c>
      <x:c r="F254" s="170" t="str">
        <x:v>kg total cable stack</x:v>
      </x:c>
      <x:c r="G254" s="170" t="n">
        <x:v>10</x:v>
      </x:c>
      <x:c r="H254" s="170" t="str">
        <x:v>Controlled-form detail To verify</x:v>
      </x:c>
      <x:c r="I254" s="170" t="str">
        <x:v>Lower-back muscular pump after session; no pain; no shoulder/elbow pain</x:v>
      </x:c>
      <x:c r="J254" s="170" t="str">
        <x:v>Low final</x:v>
      </x:c>
      <x:c r="K254" s="170" t="str">
        <x:v>Good</x:v>
      </x:c>
      <x:c r="L254" s="170"/>
      <x:c r="M254" s="170" t="str">
        <x:v>Working</x:v>
      </x:c>
      <x:c r="N254" s="170" t="n">
        <x:v>2</x:v>
      </x:c>
    </x:row>
    <x:row r="255">
      <x:c r="A255" s="220" t="n">
        <x:v>46251</x:v>
      </x:c>
      <x:c r="B255" s="170" t="str">
        <x:v>Back</x:v>
      </x:c>
      <x:c r="C255" s="170" t="str">
        <x:v>Lat Pulldown</x:v>
      </x:c>
      <x:c r="D255" s="170" t="n">
        <x:v>4</x:v>
      </x:c>
      <x:c r="E255" s="170" t="n">
        <x:v>60</x:v>
      </x:c>
      <x:c r="F255" s="170" t="str">
        <x:v>kg total cable stack</x:v>
      </x:c>
      <x:c r="G255" s="170" t="n">
        <x:v>8</x:v>
      </x:c>
      <x:c r="H255" s="170" t="str">
        <x:v>Controlled-form detail To verify</x:v>
      </x:c>
      <x:c r="I255" s="170" t="str">
        <x:v>Lower-back muscular pump after session; no pain; no shoulder/elbow pain</x:v>
      </x:c>
      <x:c r="J255" s="170" t="str">
        <x:v>Low final</x:v>
      </x:c>
      <x:c r="K255" s="170" t="str">
        <x:v>Good</x:v>
      </x:c>
      <x:c r="L255" s="170"/>
      <x:c r="M255" s="170" t="str">
        <x:v>Working</x:v>
      </x:c>
      <x:c r="N255" s="170" t="n">
        <x:v>1</x:v>
      </x:c>
    </x:row>
    <x:row r="256">
      <x:c r="A256" s="220" t="n">
        <x:v>46251</x:v>
      </x:c>
      <x:c r="B256" s="170" t="str">
        <x:v>Back</x:v>
      </x:c>
      <x:c r="C256" s="170" t="str">
        <x:v>Seated Cable Row</x:v>
      </x:c>
      <x:c r="D256" s="170" t="n">
        <x:v>1</x:v>
      </x:c>
      <x:c r="E256" s="170" t="n">
        <x:v>45</x:v>
      </x:c>
      <x:c r="F256" s="170" t="str">
        <x:v>kg total cable stack</x:v>
      </x:c>
      <x:c r="G256" s="170" t="n">
        <x:v>15</x:v>
      </x:c>
      <x:c r="H256" s="170" t="str">
        <x:v>Controlled-form detail To verify</x:v>
      </x:c>
      <x:c r="I256" s="170" t="str">
        <x:v>Lower-back muscular pump after session; no pain; no shoulder/elbow pain</x:v>
      </x:c>
      <x:c r="J256" s="170" t="str">
        <x:v>Low final</x:v>
      </x:c>
      <x:c r="K256" s="170" t="str">
        <x:v>Good</x:v>
      </x:c>
      <x:c r="L256" s="170"/>
      <x:c r="M256" s="170" t="str">
        <x:v>Working</x:v>
      </x:c>
      <x:c r="N256" s="170" t="n">
        <x:v>2</x:v>
      </x:c>
    </x:row>
    <x:row r="257">
      <x:c r="A257" s="220" t="n">
        <x:v>46251</x:v>
      </x:c>
      <x:c r="B257" s="170" t="str">
        <x:v>Back</x:v>
      </x:c>
      <x:c r="C257" s="170" t="str">
        <x:v>Seated Cable Row</x:v>
      </x:c>
      <x:c r="D257" s="170" t="n">
        <x:v>2</x:v>
      </x:c>
      <x:c r="E257" s="170" t="n">
        <x:v>50</x:v>
      </x:c>
      <x:c r="F257" s="170" t="str">
        <x:v>kg total cable stack</x:v>
      </x:c>
      <x:c r="G257" s="170" t="n">
        <x:v>12</x:v>
      </x:c>
      <x:c r="H257" s="170" t="str">
        <x:v>Controlled-form detail To verify</x:v>
      </x:c>
      <x:c r="I257" s="170" t="str">
        <x:v>Lower-back muscular pump after session; no pain; no shoulder/elbow pain</x:v>
      </x:c>
      <x:c r="J257" s="170" t="str">
        <x:v>Low final</x:v>
      </x:c>
      <x:c r="K257" s="170" t="str">
        <x:v>Good</x:v>
      </x:c>
      <x:c r="L257" s="170"/>
      <x:c r="M257" s="170" t="str">
        <x:v>Working</x:v>
      </x:c>
      <x:c r="N257" s="170" t="n">
        <x:v>2</x:v>
      </x:c>
    </x:row>
    <x:row r="258">
      <x:c r="A258" s="220" t="n">
        <x:v>46251</x:v>
      </x:c>
      <x:c r="B258" s="170" t="str">
        <x:v>Back</x:v>
      </x:c>
      <x:c r="C258" s="170" t="str">
        <x:v>Seated Cable Row</x:v>
      </x:c>
      <x:c r="D258" s="170" t="n">
        <x:v>3</x:v>
      </x:c>
      <x:c r="E258" s="170" t="n">
        <x:v>55</x:v>
      </x:c>
      <x:c r="F258" s="170" t="str">
        <x:v>kg total cable stack</x:v>
      </x:c>
      <x:c r="G258" s="170" t="n">
        <x:v>10</x:v>
      </x:c>
      <x:c r="H258" s="170" t="str">
        <x:v>Controlled-form detail To verify</x:v>
      </x:c>
      <x:c r="I258" s="170" t="str">
        <x:v>Lower-back muscular pump after session; no pain; no shoulder/elbow pain</x:v>
      </x:c>
      <x:c r="J258" s="170" t="str">
        <x:v>Low final</x:v>
      </x:c>
      <x:c r="K258" s="170" t="str">
        <x:v>Good</x:v>
      </x:c>
      <x:c r="L258" s="170"/>
      <x:c r="M258" s="170" t="str">
        <x:v>Working</x:v>
      </x:c>
      <x:c r="N258" s="170" t="n">
        <x:v>2</x:v>
      </x:c>
    </x:row>
    <x:row r="259">
      <x:c r="A259" s="220" t="n">
        <x:v>46251</x:v>
      </x:c>
      <x:c r="B259" s="170" t="str">
        <x:v>Back</x:v>
      </x:c>
      <x:c r="C259" s="170" t="str">
        <x:v>Seated Cable Row</x:v>
      </x:c>
      <x:c r="D259" s="170" t="n">
        <x:v>4</x:v>
      </x:c>
      <x:c r="E259" s="170" t="n">
        <x:v>60</x:v>
      </x:c>
      <x:c r="F259" s="170" t="str">
        <x:v>kg total cable stack</x:v>
      </x:c>
      <x:c r="G259" s="170" t="n">
        <x:v>8</x:v>
      </x:c>
      <x:c r="H259" s="170" t="str">
        <x:v>Controlled-form detail To verify</x:v>
      </x:c>
      <x:c r="I259" s="170" t="str">
        <x:v>Lower-back muscular pump after session; no pain; no shoulder/elbow pain</x:v>
      </x:c>
      <x:c r="J259" s="170" t="str">
        <x:v>Low final</x:v>
      </x:c>
      <x:c r="K259" s="170" t="str">
        <x:v>Good</x:v>
      </x:c>
      <x:c r="L259" s="170"/>
      <x:c r="M259" s="170" t="str">
        <x:v>Working</x:v>
      </x:c>
      <x:c r="N259" s="170" t="n">
        <x:v>1</x:v>
      </x:c>
    </x:row>
    <x:row r="260">
      <x:c r="A260" s="220" t="n">
        <x:v>46251</x:v>
      </x:c>
      <x:c r="B260" s="170" t="str">
        <x:v>Back</x:v>
      </x:c>
      <x:c r="C260" s="170" t="str">
        <x:v>Chest-Supported Row</x:v>
      </x:c>
      <x:c r="D260" s="170" t="n">
        <x:v>1</x:v>
      </x:c>
      <x:c r="E260" s="170" t="n">
        <x:v>40</x:v>
      </x:c>
      <x:c r="F260" s="170" t="str">
        <x:v>kg plates each side</x:v>
      </x:c>
      <x:c r="G260" s="170" t="n">
        <x:v>15</x:v>
      </x:c>
      <x:c r="H260" s="170" t="str">
        <x:v>Controlled-form detail To verify</x:v>
      </x:c>
      <x:c r="I260" s="170" t="str">
        <x:v>Lower-back muscular pump after session; no pain; no shoulder/elbow pain</x:v>
      </x:c>
      <x:c r="J260" s="170" t="str">
        <x:v>Low final</x:v>
      </x:c>
      <x:c r="K260" s="170" t="str">
        <x:v>Good</x:v>
      </x:c>
      <x:c r="L260" s="170"/>
      <x:c r="M260" s="170" t="str">
        <x:v>Working</x:v>
      </x:c>
      <x:c r="N260" s="170" t="n">
        <x:v>3</x:v>
      </x:c>
    </x:row>
    <x:row r="261">
      <x:c r="A261" s="220" t="n">
        <x:v>46251</x:v>
      </x:c>
      <x:c r="B261" s="170" t="str">
        <x:v>Back</x:v>
      </x:c>
      <x:c r="C261" s="170" t="str">
        <x:v>Chest-Supported Row</x:v>
      </x:c>
      <x:c r="D261" s="170" t="n">
        <x:v>2</x:v>
      </x:c>
      <x:c r="E261" s="170" t="n">
        <x:v>50</x:v>
      </x:c>
      <x:c r="F261" s="170" t="str">
        <x:v>kg plates each side</x:v>
      </x:c>
      <x:c r="G261" s="170" t="n">
        <x:v>13</x:v>
      </x:c>
      <x:c r="H261" s="170" t="str">
        <x:v>Controlled-form detail To verify</x:v>
      </x:c>
      <x:c r="I261" s="170" t="str">
        <x:v>Lower-back muscular pump after session; no pain; no shoulder/elbow pain</x:v>
      </x:c>
      <x:c r="J261" s="170" t="str">
        <x:v>Low final</x:v>
      </x:c>
      <x:c r="K261" s="170" t="str">
        <x:v>Good</x:v>
      </x:c>
      <x:c r="L261" s="170"/>
      <x:c r="M261" s="170" t="str">
        <x:v>Working</x:v>
      </x:c>
      <x:c r="N261" s="170" t="n">
        <x:v>2</x:v>
      </x:c>
    </x:row>
    <x:row r="262">
      <x:c r="A262" s="220" t="n">
        <x:v>46251</x:v>
      </x:c>
      <x:c r="B262" s="170" t="str">
        <x:v>Back</x:v>
      </x:c>
      <x:c r="C262" s="170" t="str">
        <x:v>Chest-Supported Row</x:v>
      </x:c>
      <x:c r="D262" s="170" t="n">
        <x:v>3</x:v>
      </x:c>
      <x:c r="E262" s="170" t="n">
        <x:v>60</x:v>
      </x:c>
      <x:c r="F262" s="170" t="str">
        <x:v>kg plates each side</x:v>
      </x:c>
      <x:c r="G262" s="170" t="n">
        <x:v>11</x:v>
      </x:c>
      <x:c r="H262" s="170" t="str">
        <x:v>Controlled-form detail To verify</x:v>
      </x:c>
      <x:c r="I262" s="170" t="str">
        <x:v>Lower-back muscular pump after session; no pain; no shoulder/elbow pain</x:v>
      </x:c>
      <x:c r="J262" s="170" t="str">
        <x:v>Low final</x:v>
      </x:c>
      <x:c r="K262" s="170" t="str">
        <x:v>Good</x:v>
      </x:c>
      <x:c r="L262" s="170"/>
      <x:c r="M262" s="170" t="str">
        <x:v>Working</x:v>
      </x:c>
      <x:c r="N262" s="170" t="n">
        <x:v>2</x:v>
      </x:c>
    </x:row>
    <x:row r="263">
      <x:c r="A263" s="220" t="n">
        <x:v>46251</x:v>
      </x:c>
      <x:c r="B263" s="170" t="str">
        <x:v>Back</x:v>
      </x:c>
      <x:c r="C263" s="170" t="str">
        <x:v>Iso-Lateral High Row</x:v>
      </x:c>
      <x:c r="D263" s="170" t="n">
        <x:v>1</x:v>
      </x:c>
      <x:c r="E263" s="170" t="n">
        <x:v>15</x:v>
      </x:c>
      <x:c r="F263" s="170" t="str">
        <x:v>kg plates each side</x:v>
      </x:c>
      <x:c r="G263" s="170" t="n">
        <x:v>14</x:v>
      </x:c>
      <x:c r="H263" s="170" t="str">
        <x:v>Controlled-form detail To verify</x:v>
      </x:c>
      <x:c r="I263" s="170" t="str">
        <x:v>Lower-back muscular pump after session; no pain; no shoulder/elbow pain</x:v>
      </x:c>
      <x:c r="J263" s="170" t="str">
        <x:v>Low final</x:v>
      </x:c>
      <x:c r="K263" s="170" t="str">
        <x:v>Good</x:v>
      </x:c>
      <x:c r="L263" s="170"/>
      <x:c r="M263" s="170" t="str">
        <x:v>Working</x:v>
      </x:c>
      <x:c r="N263" s="170" t="n">
        <x:v>2</x:v>
      </x:c>
    </x:row>
    <x:row r="264">
      <x:c r="A264" s="220" t="n">
        <x:v>46251</x:v>
      </x:c>
      <x:c r="B264" s="170" t="str">
        <x:v>Back</x:v>
      </x:c>
      <x:c r="C264" s="170" t="str">
        <x:v>Iso-Lateral High Row</x:v>
      </x:c>
      <x:c r="D264" s="170" t="n">
        <x:v>2</x:v>
      </x:c>
      <x:c r="E264" s="170" t="n">
        <x:v>17.5</x:v>
      </x:c>
      <x:c r="F264" s="170" t="str">
        <x:v>kg plates each side</x:v>
      </x:c>
      <x:c r="G264" s="170" t="n">
        <x:v>12</x:v>
      </x:c>
      <x:c r="H264" s="170" t="str">
        <x:v>Controlled-form detail To verify</x:v>
      </x:c>
      <x:c r="I264" s="170" t="str">
        <x:v>Lower-back muscular pump after session; no pain; no shoulder/elbow pain</x:v>
      </x:c>
      <x:c r="J264" s="170" t="str">
        <x:v>Low final</x:v>
      </x:c>
      <x:c r="K264" s="170" t="str">
        <x:v>Good</x:v>
      </x:c>
      <x:c r="L264" s="170"/>
      <x:c r="M264" s="170" t="str">
        <x:v>Working</x:v>
      </x:c>
      <x:c r="N264" s="170" t="n">
        <x:v>2</x:v>
      </x:c>
    </x:row>
    <x:row r="265">
      <x:c r="A265" s="220" t="n">
        <x:v>46251</x:v>
      </x:c>
      <x:c r="B265" s="170" t="str">
        <x:v>Back</x:v>
      </x:c>
      <x:c r="C265" s="170" t="str">
        <x:v>Iso-Lateral High Row</x:v>
      </x:c>
      <x:c r="D265" s="170" t="n">
        <x:v>3</x:v>
      </x:c>
      <x:c r="E265" s="170" t="n">
        <x:v>20</x:v>
      </x:c>
      <x:c r="F265" s="170" t="str">
        <x:v>kg plates each side</x:v>
      </x:c>
      <x:c r="G265" s="170" t="n">
        <x:v>10</x:v>
      </x:c>
      <x:c r="H265" s="170" t="str">
        <x:v>Controlled-form detail To verify</x:v>
      </x:c>
      <x:c r="I265" s="170" t="str">
        <x:v>Lower-back muscular pump after session; no pain; no shoulder/elbow pain</x:v>
      </x:c>
      <x:c r="J265" s="170" t="str">
        <x:v>Low final</x:v>
      </x:c>
      <x:c r="K265" s="170" t="str">
        <x:v>Good</x:v>
      </x:c>
      <x:c r="L265" s="170"/>
      <x:c r="M265" s="170" t="str">
        <x:v>Working</x:v>
      </x:c>
      <x:c r="N265" s="170" t="n">
        <x:v>2</x:v>
      </x:c>
    </x:row>
    <x:row r="266">
      <x:c r="A266" s="220" t="n">
        <x:v>46251</x:v>
      </x:c>
      <x:c r="B266" s="170" t="str">
        <x:v>Back</x:v>
      </x:c>
      <x:c r="C266" s="170" t="str">
        <x:v>Straight-Arm Pulldown</x:v>
      </x:c>
      <x:c r="D266" s="170" t="n">
        <x:v>1</x:v>
      </x:c>
      <x:c r="E266" s="170" t="n">
        <x:v>40</x:v>
      </x:c>
      <x:c r="F266" s="170" t="str">
        <x:v>kg total cable stack</x:v>
      </x:c>
      <x:c r="G266" s="170" t="n">
        <x:v>15</x:v>
      </x:c>
      <x:c r="H266" s="170" t="str">
        <x:v>Controlled-form detail To verify</x:v>
      </x:c>
      <x:c r="I266" s="170" t="str">
        <x:v>Lower-back muscular pump after session; no pain; no shoulder/elbow pain</x:v>
      </x:c>
      <x:c r="J266" s="170" t="str">
        <x:v>Low final</x:v>
      </x:c>
      <x:c r="K266" s="170" t="str">
        <x:v>Good</x:v>
      </x:c>
      <x:c r="L266" s="170"/>
      <x:c r="M266" s="170" t="str">
        <x:v>Working</x:v>
      </x:c>
      <x:c r="N266" s="170" t="n">
        <x:v>2</x:v>
      </x:c>
    </x:row>
    <x:row r="267">
      <x:c r="A267" s="220" t="n">
        <x:v>46251</x:v>
      </x:c>
      <x:c r="B267" s="170" t="str">
        <x:v>Back</x:v>
      </x:c>
      <x:c r="C267" s="170" t="str">
        <x:v>Straight-Arm Pulldown</x:v>
      </x:c>
      <x:c r="D267" s="170" t="n">
        <x:v>2</x:v>
      </x:c>
      <x:c r="E267" s="170" t="n">
        <x:v>45</x:v>
      </x:c>
      <x:c r="F267" s="170" t="str">
        <x:v>kg total cable stack</x:v>
      </x:c>
      <x:c r="G267" s="170" t="n">
        <x:v>12</x:v>
      </x:c>
      <x:c r="H267" s="170" t="str">
        <x:v>Controlled-form detail To verify</x:v>
      </x:c>
      <x:c r="I267" s="170" t="str">
        <x:v>Lower-back muscular pump after session; no pain; no shoulder/elbow pain</x:v>
      </x:c>
      <x:c r="J267" s="170" t="str">
        <x:v>Low final</x:v>
      </x:c>
      <x:c r="K267" s="170" t="str">
        <x:v>Good</x:v>
      </x:c>
      <x:c r="L267" s="170"/>
      <x:c r="M267" s="170" t="str">
        <x:v>Working</x:v>
      </x:c>
      <x:c r="N267" s="170" t="n">
        <x:v>2</x:v>
      </x:c>
    </x:row>
    <x:row r="268">
      <x:c r="A268" s="220" t="n">
        <x:v>46251</x:v>
      </x:c>
      <x:c r="B268" s="170" t="str">
        <x:v>Back</x:v>
      </x:c>
      <x:c r="C268" s="170" t="str">
        <x:v>Straight-Arm Pulldown</x:v>
      </x:c>
      <x:c r="D268" s="170" t="n">
        <x:v>3</x:v>
      </x:c>
      <x:c r="E268" s="170" t="n">
        <x:v>50</x:v>
      </x:c>
      <x:c r="F268" s="170" t="str">
        <x:v>kg total cable stack</x:v>
      </x:c>
      <x:c r="G268" s="170" t="n">
        <x:v>10</x:v>
      </x:c>
      <x:c r="H268" s="170" t="str">
        <x:v>Controlled-form detail To verify</x:v>
      </x:c>
      <x:c r="I268" s="170" t="str">
        <x:v>Lower-back muscular pump after session; no pain; no shoulder/elbow pain</x:v>
      </x:c>
      <x:c r="J268" s="170" t="str">
        <x:v>Low final</x:v>
      </x:c>
      <x:c r="K268" s="170" t="str">
        <x:v>Good</x:v>
      </x:c>
      <x:c r="L268" s="170"/>
      <x:c r="M268" s="170" t="str">
        <x:v>Working</x:v>
      </x:c>
      <x:c r="N268" s="170" t="n">
        <x:v>2</x:v>
      </x:c>
    </x:row>
    <x:row r="269">
      <x:c r="A269" s="220" t="n">
        <x:v>46251</x:v>
      </x:c>
      <x:c r="B269" s="170" t="str">
        <x:v>Back</x:v>
      </x:c>
      <x:c r="C269" s="170" t="str">
        <x:v>Hyperextension</x:v>
      </x:c>
      <x:c r="D269" s="170" t="n">
        <x:v>1</x:v>
      </x:c>
      <x:c r="E269" s="170" t="str">
        <x:v>Body weight</x:v>
      </x:c>
      <x:c r="F269" s="170" t="str">
        <x:v>body weight</x:v>
      </x:c>
      <x:c r="G269" s="170" t="n">
        <x:v>15</x:v>
      </x:c>
      <x:c r="H269" s="170" t="str">
        <x:v>Controlled-form detail To verify</x:v>
      </x:c>
      <x:c r="I269" s="170" t="str">
        <x:v>Lower-back muscular pump after session; no pain; no shoulder/elbow pain</x:v>
      </x:c>
      <x:c r="J269" s="170" t="str">
        <x:v>Low final</x:v>
      </x:c>
      <x:c r="K269" s="170" t="str">
        <x:v>Good</x:v>
      </x:c>
      <x:c r="L269" s="170"/>
      <x:c r="M269" s="170" t="str">
        <x:v>Working</x:v>
      </x:c>
      <x:c r="N269" s="170" t="n">
        <x:v>2</x:v>
      </x:c>
    </x:row>
    <x:row r="270">
      <x:c r="A270" s="220" t="n">
        <x:v>46251</x:v>
      </x:c>
      <x:c r="B270" s="170" t="str">
        <x:v>Back</x:v>
      </x:c>
      <x:c r="C270" s="170" t="str">
        <x:v>Hyperextension</x:v>
      </x:c>
      <x:c r="D270" s="170" t="n">
        <x:v>2</x:v>
      </x:c>
      <x:c r="E270" s="170" t="str">
        <x:v>Body weight + 10</x:v>
      </x:c>
      <x:c r="F270" s="170" t="str">
        <x:v>kg plate held</x:v>
      </x:c>
      <x:c r="G270" s="170" t="n">
        <x:v>13</x:v>
      </x:c>
      <x:c r="H270" s="170" t="str">
        <x:v>Controlled-form detail To verify</x:v>
      </x:c>
      <x:c r="I270" s="170" t="str">
        <x:v>Lower-back muscular pump after session; no pain; no shoulder/elbow pain</x:v>
      </x:c>
      <x:c r="J270" s="170" t="str">
        <x:v>Low final</x:v>
      </x:c>
      <x:c r="K270" s="170" t="str">
        <x:v>Good</x:v>
      </x:c>
      <x:c r="L270" s="170"/>
      <x:c r="M270" s="170" t="str">
        <x:v>Working</x:v>
      </x:c>
      <x:c r="N270" s="170" t="n">
        <x:v>1</x:v>
      </x:c>
    </x:row>
    <x:row r="271">
      <x:c r="A271" s="220" t="n">
        <x:v>46251</x:v>
      </x:c>
      <x:c r="B271" s="170" t="str">
        <x:v>Back</x:v>
      </x:c>
      <x:c r="C271" s="170" t="str">
        <x:v>Hyperextension</x:v>
      </x:c>
      <x:c r="D271" s="170" t="n">
        <x:v>3</x:v>
      </x:c>
      <x:c r="E271" s="170" t="str">
        <x:v>Body weight + 20</x:v>
      </x:c>
      <x:c r="F271" s="170" t="str">
        <x:v>kg plate held</x:v>
      </x:c>
      <x:c r="G271" s="170" t="n">
        <x:v>10</x:v>
      </x:c>
      <x:c r="H271" s="170" t="str">
        <x:v>Controlled but required an intra-set pause and consumed substantial strength</x:v>
      </x:c>
      <x:c r="I271" s="170" t="str">
        <x:v>Lower-back muscular pump after session; no pain; no shoulder/elbow pain</x:v>
      </x:c>
      <x:c r="J271" s="170" t="str">
        <x:v>Low final</x:v>
      </x:c>
      <x:c r="K271" s="170" t="str">
        <x:v>Good</x:v>
      </x:c>
      <x:c r="L271" s="170" t="str">
        <x:v>Unprescribed RIR 0 set; preserved as history, not progression target</x:v>
      </x:c>
      <x:c r="M271" s="170" t="str">
        <x:v>Working</x:v>
      </x:c>
      <x:c r="N271" s="170" t="n">
        <x:v>0</x:v>
      </x:c>
    </x:row>
    <x:row r="272">
      <x:c r="A272" s="220" t="n">
        <x:v>46252</x:v>
      </x:c>
      <x:c r="B272" s="170" t="str">
        <x:v>Chest</x:v>
      </x:c>
      <x:c r="C272" s="170" t="str">
        <x:v>Flat Bench Press</x:v>
      </x:c>
      <x:c r="D272" s="170" t="n">
        <x:v>1</x:v>
      </x:c>
      <x:c r="E272" s="170" t="n">
        <x:v>17.5</x:v>
      </x:c>
      <x:c r="F272" s="170" t="str">
        <x:v>kg plates each side; bar excluded</x:v>
      </x:c>
      <x:c r="G272" s="170" t="n">
        <x:v>12</x:v>
      </x:c>
      <x:c r="H272" s="170" t="str">
        <x:v>No assistance; prescribed preparation-set completion To verify</x:v>
      </x:c>
      <x:c r="I272" s="170" t="str">
        <x:v>No pain; little lower-biceps pump after final cable-fly set; exact side and resolution To verify</x:v>
      </x:c>
      <x:c r="J272" s="170" t="str">
        <x:v>Medium to low final</x:v>
      </x:c>
      <x:c r="K272" s="170" t="str">
        <x:v>Good</x:v>
      </x:c>
      <x:c r="L272" s="170"/>
      <x:c r="M272" s="170" t="str">
        <x:v>Working</x:v>
      </x:c>
      <x:c r="N272" s="170" t="n">
        <x:v>2</x:v>
      </x:c>
    </x:row>
    <x:row r="273">
      <x:c r="A273" s="220" t="n">
        <x:v>46252</x:v>
      </x:c>
      <x:c r="B273" s="170" t="str">
        <x:v>Chest</x:v>
      </x:c>
      <x:c r="C273" s="170" t="str">
        <x:v>Flat Bench Press</x:v>
      </x:c>
      <x:c r="D273" s="170" t="n">
        <x:v>2</x:v>
      </x:c>
      <x:c r="E273" s="170" t="n">
        <x:v>20</x:v>
      </x:c>
      <x:c r="F273" s="170" t="str">
        <x:v>kg plates each side; bar excluded</x:v>
      </x:c>
      <x:c r="G273" s="170" t="n">
        <x:v>10</x:v>
      </x:c>
      <x:c r="H273" s="170" t="str">
        <x:v>No assistance; rep target met but harder than planned</x:v>
      </x:c>
      <x:c r="I273" s="170" t="str">
        <x:v>No pain; little lower-biceps pump after final cable-fly set; exact side and resolution To verify</x:v>
      </x:c>
      <x:c r="J273" s="170" t="str">
        <x:v>Medium to low final</x:v>
      </x:c>
      <x:c r="K273" s="170" t="str">
        <x:v>Good</x:v>
      </x:c>
      <x:c r="L273" s="170"/>
      <x:c r="M273" s="170" t="str">
        <x:v>Working</x:v>
      </x:c>
      <x:c r="N273" s="170" t="n">
        <x:v>1</x:v>
      </x:c>
    </x:row>
    <x:row r="274">
      <x:c r="A274" s="220" t="n">
        <x:v>46252</x:v>
      </x:c>
      <x:c r="B274" s="170" t="str">
        <x:v>Chest</x:v>
      </x:c>
      <x:c r="C274" s="170" t="str">
        <x:v>Flat Bench Press</x:v>
      </x:c>
      <x:c r="D274" s="170" t="n">
        <x:v>3</x:v>
      </x:c>
      <x:c r="E274" s="170" t="n">
        <x:v>22.5</x:v>
      </x:c>
      <x:c r="F274" s="170" t="str">
        <x:v>kg plates each side; bar excluded</x:v>
      </x:c>
      <x:c r="G274" s="170" t="n">
        <x:v>7</x:v>
      </x:c>
      <x:c r="H274" s="170" t="str">
        <x:v>No assistance; matched prior result</x:v>
      </x:c>
      <x:c r="I274" s="170" t="str">
        <x:v>No pain; little lower-biceps pump after final cable-fly set; exact side and resolution To verify</x:v>
      </x:c>
      <x:c r="J274" s="170" t="str">
        <x:v>Medium to low final</x:v>
      </x:c>
      <x:c r="K274" s="170" t="str">
        <x:v>Good</x:v>
      </x:c>
      <x:c r="L274" s="170"/>
      <x:c r="M274" s="170" t="str">
        <x:v>Working</x:v>
      </x:c>
      <x:c r="N274" s="170" t="n">
        <x:v>1</x:v>
      </x:c>
    </x:row>
    <x:row r="275">
      <x:c r="A275" s="220" t="n">
        <x:v>46252</x:v>
      </x:c>
      <x:c r="B275" s="170" t="str">
        <x:v>Chest</x:v>
      </x:c>
      <x:c r="C275" s="170" t="str">
        <x:v>Incline Barbell Bench Press</x:v>
      </x:c>
      <x:c r="D275" s="170" t="n">
        <x:v>1</x:v>
      </x:c>
      <x:c r="E275" s="170" t="n">
        <x:v>10</x:v>
      </x:c>
      <x:c r="F275" s="170" t="str">
        <x:v>kg plates each side; bar excluded</x:v>
      </x:c>
      <x:c r="G275" s="170" t="n">
        <x:v>13</x:v>
      </x:c>
      <x:c r="H275" s="170" t="str">
        <x:v>No assistance; performed before plate chest press</x:v>
      </x:c>
      <x:c r="I275" s="170" t="str">
        <x:v>No pain; little lower-biceps pump after final cable-fly set; exact side and resolution To verify</x:v>
      </x:c>
      <x:c r="J275" s="170" t="str">
        <x:v>Medium to low final</x:v>
      </x:c>
      <x:c r="K275" s="170" t="str">
        <x:v>Good</x:v>
      </x:c>
      <x:c r="L275" s="170"/>
      <x:c r="M275" s="170" t="str">
        <x:v>Working</x:v>
      </x:c>
      <x:c r="N275" s="170" t="n">
        <x:v>2</x:v>
      </x:c>
    </x:row>
    <x:row r="276">
      <x:c r="A276" s="220" t="n">
        <x:v>46252</x:v>
      </x:c>
      <x:c r="B276" s="170" t="str">
        <x:v>Chest</x:v>
      </x:c>
      <x:c r="C276" s="170" t="str">
        <x:v>Incline Barbell Bench Press</x:v>
      </x:c>
      <x:c r="D276" s="170" t="n">
        <x:v>2</x:v>
      </x:c>
      <x:c r="E276" s="170" t="n">
        <x:v>12.5</x:v>
      </x:c>
      <x:c r="F276" s="170" t="str">
        <x:v>kg plates each side; bar excluded</x:v>
      </x:c>
      <x:c r="G276" s="170" t="n">
        <x:v>11</x:v>
      </x:c>
      <x:c r="H276" s="170" t="str">
        <x:v>No assistance; performed before plate chest press</x:v>
      </x:c>
      <x:c r="I276" s="170" t="str">
        <x:v>No pain; little lower-biceps pump after final cable-fly set; exact side and resolution To verify</x:v>
      </x:c>
      <x:c r="J276" s="170" t="str">
        <x:v>Medium to low final</x:v>
      </x:c>
      <x:c r="K276" s="170" t="str">
        <x:v>Good</x:v>
      </x:c>
      <x:c r="L276" s="170"/>
      <x:c r="M276" s="170" t="str">
        <x:v>Working</x:v>
      </x:c>
      <x:c r="N276" s="170" t="n">
        <x:v>2</x:v>
      </x:c>
    </x:row>
    <x:row r="277">
      <x:c r="A277" s="220" t="n">
        <x:v>46252</x:v>
      </x:c>
      <x:c r="B277" s="170" t="str">
        <x:v>Chest</x:v>
      </x:c>
      <x:c r="C277" s="170" t="str">
        <x:v>Incline Barbell Bench Press</x:v>
      </x:c>
      <x:c r="D277" s="170" t="n">
        <x:v>3</x:v>
      </x:c>
      <x:c r="E277" s="170" t="n">
        <x:v>15</x:v>
      </x:c>
      <x:c r="F277" s="170" t="str">
        <x:v>kg plates each side; bar excluded</x:v>
      </x:c>
      <x:c r="G277" s="170" t="n">
        <x:v>9</x:v>
      </x:c>
      <x:c r="H277" s="170" t="str">
        <x:v>No assistance; progressed from 8 nearly assisted reps to 9 clean reps</x:v>
      </x:c>
      <x:c r="I277" s="170" t="str">
        <x:v>No pain; little lower-biceps pump after final cable-fly set; exact side and resolution To verify</x:v>
      </x:c>
      <x:c r="J277" s="170" t="str">
        <x:v>Medium to low final</x:v>
      </x:c>
      <x:c r="K277" s="170" t="str">
        <x:v>Good</x:v>
      </x:c>
      <x:c r="L277" s="170"/>
      <x:c r="M277" s="170" t="str">
        <x:v>Working</x:v>
      </x:c>
      <x:c r="N277" s="170" t="n">
        <x:v>1</x:v>
      </x:c>
    </x:row>
    <x:row r="278">
      <x:c r="A278" s="220" t="n">
        <x:v>46252</x:v>
      </x:c>
      <x:c r="B278" s="170" t="str">
        <x:v>Chest</x:v>
      </x:c>
      <x:c r="C278" s="170" t="str">
        <x:v>Plate Chest Press</x:v>
      </x:c>
      <x:c r="D278" s="170" t="n">
        <x:v>1</x:v>
      </x:c>
      <x:c r="E278" s="170" t="n">
        <x:v>30</x:v>
      </x:c>
      <x:c r="F278" s="170" t="str">
        <x:v>kg plates each side</x:v>
      </x:c>
      <x:c r="G278" s="170" t="n">
        <x:v>15</x:v>
      </x:c>
      <x:c r="H278" s="170" t="str">
        <x:v>Clean and unassisted</x:v>
      </x:c>
      <x:c r="I278" s="170" t="str">
        <x:v>No pain; little lower-biceps pump after final cable-fly set; exact side and resolution To verify</x:v>
      </x:c>
      <x:c r="J278" s="170" t="str">
        <x:v>Medium to low final</x:v>
      </x:c>
      <x:c r="K278" s="170" t="str">
        <x:v>Good</x:v>
      </x:c>
      <x:c r="L278" s="170"/>
      <x:c r="M278" s="170" t="str">
        <x:v>Working</x:v>
      </x:c>
      <x:c r="N278" s="170" t="n">
        <x:v>2</x:v>
      </x:c>
    </x:row>
    <x:row r="279">
      <x:c r="A279" s="220" t="n">
        <x:v>46252</x:v>
      </x:c>
      <x:c r="B279" s="170" t="str">
        <x:v>Chest</x:v>
      </x:c>
      <x:c r="C279" s="170" t="str">
        <x:v>Plate Chest Press</x:v>
      </x:c>
      <x:c r="D279" s="170" t="n">
        <x:v>2</x:v>
      </x:c>
      <x:c r="E279" s="170" t="n">
        <x:v>40</x:v>
      </x:c>
      <x:c r="F279" s="170" t="str">
        <x:v>kg plates each side</x:v>
      </x:c>
      <x:c r="G279" s="170" t="n">
        <x:v>10</x:v>
      </x:c>
      <x:c r="H279" s="170" t="str">
        <x:v>Clean and unassisted</x:v>
      </x:c>
      <x:c r="I279" s="170" t="str">
        <x:v>No pain; little lower-biceps pump after final cable-fly set; exact side and resolution To verify</x:v>
      </x:c>
      <x:c r="J279" s="170" t="str">
        <x:v>Medium to low final</x:v>
      </x:c>
      <x:c r="K279" s="170" t="str">
        <x:v>Good</x:v>
      </x:c>
      <x:c r="L279" s="170"/>
      <x:c r="M279" s="170" t="str">
        <x:v>Working</x:v>
      </x:c>
      <x:c r="N279" s="170" t="n">
        <x:v>2</x:v>
      </x:c>
    </x:row>
    <x:row r="280">
      <x:c r="A280" s="220" t="n">
        <x:v>46252</x:v>
      </x:c>
      <x:c r="B280" s="170" t="str">
        <x:v>Chest</x:v>
      </x:c>
      <x:c r="C280" s="170" t="str">
        <x:v>Plate Chest Press</x:v>
      </x:c>
      <x:c r="D280" s="170" t="n">
        <x:v>3</x:v>
      </x:c>
      <x:c r="E280" s="170" t="n">
        <x:v>45</x:v>
      </x:c>
      <x:c r="F280" s="170" t="str">
        <x:v>kg plates each side</x:v>
      </x:c>
      <x:c r="G280" s="170" t="n">
        <x:v>8</x:v>
      </x:c>
      <x:c r="H280" s="170" t="str">
        <x:v>New baseline; explicitly confirmed clean and unassisted</x:v>
      </x:c>
      <x:c r="I280" s="170" t="str">
        <x:v>No pain; little lower-biceps pump after final cable-fly set; exact side and resolution To verify</x:v>
      </x:c>
      <x:c r="J280" s="170" t="str">
        <x:v>Medium to low final</x:v>
      </x:c>
      <x:c r="K280" s="170" t="str">
        <x:v>Good</x:v>
      </x:c>
      <x:c r="L280" s="170"/>
      <x:c r="M280" s="170" t="str">
        <x:v>Working</x:v>
      </x:c>
      <x:c r="N280" s="170" t="n">
        <x:v>1</x:v>
      </x:c>
    </x:row>
    <x:row r="281">
      <x:c r="A281" s="220" t="n">
        <x:v>46252</x:v>
      </x:c>
      <x:c r="B281" s="170" t="str">
        <x:v>Chest</x:v>
      </x:c>
      <x:c r="C281" s="170" t="str">
        <x:v>Pec Deck Fly</x:v>
      </x:c>
      <x:c r="D281" s="170" t="n">
        <x:v>1</x:v>
      </x:c>
      <x:c r="E281" s="170" t="n">
        <x:v>45</x:v>
      </x:c>
      <x:c r="F281" s="170" t="str">
        <x:v>kg total machine stack</x:v>
      </x:c>
      <x:c r="G281" s="170" t="n">
        <x:v>15</x:v>
      </x:c>
      <x:c r="H281" s="170" t="str">
        <x:v>No assistance reported</x:v>
      </x:c>
      <x:c r="I281" s="170" t="str">
        <x:v>No pain; little lower-biceps pump after final cable-fly set; exact side and resolution To verify</x:v>
      </x:c>
      <x:c r="J281" s="170" t="str">
        <x:v>Medium to low final</x:v>
      </x:c>
      <x:c r="K281" s="170" t="str">
        <x:v>Good</x:v>
      </x:c>
      <x:c r="L281" s="170"/>
      <x:c r="M281" s="170" t="str">
        <x:v>Working</x:v>
      </x:c>
      <x:c r="N281" s="170" t="n">
        <x:v>2</x:v>
      </x:c>
    </x:row>
    <x:row r="282">
      <x:c r="A282" s="220" t="n">
        <x:v>46252</x:v>
      </x:c>
      <x:c r="B282" s="170" t="str">
        <x:v>Chest</x:v>
      </x:c>
      <x:c r="C282" s="170" t="str">
        <x:v>Pec Deck Fly</x:v>
      </x:c>
      <x:c r="D282" s="170" t="n">
        <x:v>2</x:v>
      </x:c>
      <x:c r="E282" s="170" t="n">
        <x:v>50</x:v>
      </x:c>
      <x:c r="F282" s="170" t="str">
        <x:v>kg total machine stack</x:v>
      </x:c>
      <x:c r="G282" s="170" t="n">
        <x:v>12</x:v>
      </x:c>
      <x:c r="H282" s="170" t="str">
        <x:v>No assistance reported</x:v>
      </x:c>
      <x:c r="I282" s="170" t="str">
        <x:v>No pain; little lower-biceps pump after final cable-fly set; exact side and resolution To verify</x:v>
      </x:c>
      <x:c r="J282" s="170" t="str">
        <x:v>Medium to low final</x:v>
      </x:c>
      <x:c r="K282" s="170" t="str">
        <x:v>Good</x:v>
      </x:c>
      <x:c r="L282" s="170"/>
      <x:c r="M282" s="170" t="str">
        <x:v>Working</x:v>
      </x:c>
      <x:c r="N282" s="170" t="n">
        <x:v>2</x:v>
      </x:c>
    </x:row>
    <x:row r="283">
      <x:c r="A283" s="220" t="n">
        <x:v>46252</x:v>
      </x:c>
      <x:c r="B283" s="170" t="str">
        <x:v>Chest</x:v>
      </x:c>
      <x:c r="C283" s="170" t="str">
        <x:v>Pec Deck Fly</x:v>
      </x:c>
      <x:c r="D283" s="170" t="n">
        <x:v>3</x:v>
      </x:c>
      <x:c r="E283" s="170" t="n">
        <x:v>55</x:v>
      </x:c>
      <x:c r="F283" s="170" t="str">
        <x:v>kg total machine stack</x:v>
      </x:c>
      <x:c r="G283" s="170" t="n">
        <x:v>12</x:v>
      </x:c>
      <x:c r="H283" s="170" t="str">
        <x:v>Progressed from 11 to 12 reps; no assistance</x:v>
      </x:c>
      <x:c r="I283" s="170" t="str">
        <x:v>No pain; little lower-biceps pump after final cable-fly set; exact side and resolution To verify</x:v>
      </x:c>
      <x:c r="J283" s="170" t="str">
        <x:v>Medium to low final</x:v>
      </x:c>
      <x:c r="K283" s="170" t="str">
        <x:v>Good</x:v>
      </x:c>
      <x:c r="L283" s="170"/>
      <x:c r="M283" s="170" t="str">
        <x:v>Working</x:v>
      </x:c>
      <x:c r="N283" s="170" t="n">
        <x:v>1</x:v>
      </x:c>
    </x:row>
    <x:row r="284">
      <x:c r="A284" s="220" t="n">
        <x:v>46252</x:v>
      </x:c>
      <x:c r="B284" s="170" t="str">
        <x:v>Chest</x:v>
      </x:c>
      <x:c r="C284" s="170" t="str">
        <x:v>Cable Fly</x:v>
      </x:c>
      <x:c r="D284" s="170" t="n">
        <x:v>1</x:v>
      </x:c>
      <x:c r="E284" s="170" t="n">
        <x:v>15</x:v>
      </x:c>
      <x:c r="F284" s="170" t="str">
        <x:v>kg each side; conventional horizontal path</x:v>
      </x:c>
      <x:c r="G284" s="170" t="n">
        <x:v>25</x:v>
      </x:c>
      <x:c r="H284" s="170" t="str">
        <x:v>No assistance; load now too light for efficient working use</x:v>
      </x:c>
      <x:c r="I284" s="170" t="str">
        <x:v>No pain; little lower-biceps pump after final cable-fly set; exact side and resolution To verify</x:v>
      </x:c>
      <x:c r="J284" s="170" t="str">
        <x:v>Medium to low final</x:v>
      </x:c>
      <x:c r="K284" s="170" t="str">
        <x:v>Good</x:v>
      </x:c>
      <x:c r="L284" s="170"/>
      <x:c r="M284" s="170" t="str">
        <x:v>Working</x:v>
      </x:c>
      <x:c r="N284" s="170" t="n">
        <x:v>3</x:v>
      </x:c>
    </x:row>
    <x:row r="285">
      <x:c r="A285" s="220" t="n">
        <x:v>46252</x:v>
      </x:c>
      <x:c r="B285" s="170" t="str">
        <x:v>Chest</x:v>
      </x:c>
      <x:c r="C285" s="170" t="str">
        <x:v>Cable Fly</x:v>
      </x:c>
      <x:c r="D285" s="170" t="n">
        <x:v>2</x:v>
      </x:c>
      <x:c r="E285" s="170" t="n">
        <x:v>20</x:v>
      </x:c>
      <x:c r="F285" s="170" t="str">
        <x:v>kg each side; conventional horizontal path</x:v>
      </x:c>
      <x:c r="G285" s="170" t="n">
        <x:v>14</x:v>
      </x:c>
      <x:c r="H285" s="170" t="str">
        <x:v>No assistance; controlled-form detail To verify</x:v>
      </x:c>
      <x:c r="I285" s="170" t="str">
        <x:v>No pain; little lower-biceps pump after final cable-fly set; exact side and resolution To verify</x:v>
      </x:c>
      <x:c r="J285" s="170" t="str">
        <x:v>Medium to low final</x:v>
      </x:c>
      <x:c r="K285" s="170" t="str">
        <x:v>Good</x:v>
      </x:c>
      <x:c r="L285" s="170"/>
      <x:c r="M285" s="170" t="str">
        <x:v>Working</x:v>
      </x:c>
      <x:c r="N285" s="170" t="n">
        <x:v>2</x:v>
      </x:c>
    </x:row>
    <x:row r="286">
      <x:c r="A286" s="220" t="n">
        <x:v>46252</x:v>
      </x:c>
      <x:c r="B286" s="170" t="str">
        <x:v>Chest</x:v>
      </x:c>
      <x:c r="C286" s="170" t="str">
        <x:v>Cable Fly</x:v>
      </x:c>
      <x:c r="D286" s="170" t="n">
        <x:v>3</x:v>
      </x:c>
      <x:c r="E286" s="170" t="n">
        <x:v>25</x:v>
      </x:c>
      <x:c r="F286" s="170" t="str">
        <x:v>kg each side; conventional horizontal path</x:v>
      </x:c>
      <x:c r="G286" s="170" t="n">
        <x:v>12</x:v>
      </x:c>
      <x:c r="H286" s="170" t="str">
        <x:v>No assistance; progressed from 10 to 12 reps</x:v>
      </x:c>
      <x:c r="I286" s="170" t="str">
        <x:v>No pain; little lower-biceps pump after final cable-fly set; exact side and resolution To verify</x:v>
      </x:c>
      <x:c r="J286" s="170" t="str">
        <x:v>Medium to low final</x:v>
      </x:c>
      <x:c r="K286" s="170" t="str">
        <x:v>Good</x:v>
      </x:c>
      <x:c r="L286" s="170"/>
      <x:c r="M286" s="170" t="str">
        <x:v>Working</x:v>
      </x:c>
      <x:c r="N286" s="170" t="n">
        <x:v>2</x:v>
      </x:c>
    </x:row>
    <x:row r="287">
      <x:c r="A287" s="220" t="n">
        <x:v>46252</x:v>
      </x:c>
      <x:c r="B287" s="170" t="str">
        <x:v>Chest</x:v>
      </x:c>
      <x:c r="C287" s="170" t="str">
        <x:v>Front Plank</x:v>
      </x:c>
      <x:c r="D287" s="170" t="n">
        <x:v>1</x:v>
      </x:c>
      <x:c r="E287" s="170" t="str">
        <x:v>Body weight</x:v>
      </x:c>
      <x:c r="F287" s="170" t="str">
        <x:v>seconds</x:v>
      </x:c>
      <x:c r="G287" s="170" t="n">
        <x:v>60</x:v>
      </x:c>
      <x:c r="H287" s="170" t="str">
        <x:v>Strict completion; no hip sag or lower-back discomfort</x:v>
      </x:c>
      <x:c r="I287" s="170" t="str">
        <x:v>No pain; little lower-biceps pump after final cable-fly set; exact side and resolution To verify</x:v>
      </x:c>
      <x:c r="J287" s="170" t="str">
        <x:v>Medium to low final</x:v>
      </x:c>
      <x:c r="K287" s="170" t="str">
        <x:v>Good</x:v>
      </x:c>
      <x:c r="L287" s="170"/>
      <x:c r="M287" s="170" t="str">
        <x:v>Core finisher</x:v>
      </x:c>
      <x:c r="N287" s="170" t="str">
        <x:v>To verify</x:v>
      </x:c>
    </x:row>
    <x:row r="288">
      <x:c r="A288" s="220" t="n">
        <x:v>46252</x:v>
      </x:c>
      <x:c r="B288" s="170" t="str">
        <x:v>Chest</x:v>
      </x:c>
      <x:c r="C288" s="170" t="str">
        <x:v>Front Plank</x:v>
      </x:c>
      <x:c r="D288" s="170" t="n">
        <x:v>2</x:v>
      </x:c>
      <x:c r="E288" s="170" t="str">
        <x:v>Body weight</x:v>
      </x:c>
      <x:c r="F288" s="170" t="str">
        <x:v>seconds</x:v>
      </x:c>
      <x:c r="G288" s="170" t="n">
        <x:v>60</x:v>
      </x:c>
      <x:c r="H288" s="170" t="str">
        <x:v>Strict completion; no hip sag or lower-back discomfort</x:v>
      </x:c>
      <x:c r="I288" s="170" t="str">
        <x:v>No pain; little lower-biceps pump after final cable-fly set; exact side and resolution To verify</x:v>
      </x:c>
      <x:c r="J288" s="170" t="str">
        <x:v>Medium to low final</x:v>
      </x:c>
      <x:c r="K288" s="170" t="str">
        <x:v>Good</x:v>
      </x:c>
      <x:c r="L288" s="170"/>
      <x:c r="M288" s="170" t="str">
        <x:v>Core finisher</x:v>
      </x:c>
      <x:c r="N288" s="170" t="str">
        <x:v>To verify</x:v>
      </x:c>
    </x:row>
    <x:row r="289">
      <x:c r="A289" s="220" t="n">
        <x:v>46252</x:v>
      </x:c>
      <x:c r="B289" s="170" t="str">
        <x:v>Chest</x:v>
      </x:c>
      <x:c r="C289" s="170" t="str">
        <x:v>Front Plank</x:v>
      </x:c>
      <x:c r="D289" s="170" t="n">
        <x:v>3</x:v>
      </x:c>
      <x:c r="E289" s="170" t="str">
        <x:v>Body weight</x:v>
      </x:c>
      <x:c r="F289" s="170" t="str">
        <x:v>seconds</x:v>
      </x:c>
      <x:c r="G289" s="170" t="n">
        <x:v>60</x:v>
      </x:c>
      <x:c r="H289" s="170" t="str">
        <x:v>Strict completion; no hip sag or lower-back discomfort</x:v>
      </x:c>
      <x:c r="I289" s="170" t="str">
        <x:v>No pain; little lower-biceps pump after final cable-fly set; exact side and resolution To verify</x:v>
      </x:c>
      <x:c r="J289" s="170" t="str">
        <x:v>Medium to low final</x:v>
      </x:c>
      <x:c r="K289" s="170" t="str">
        <x:v>Good</x:v>
      </x:c>
      <x:c r="L289" s="170"/>
      <x:c r="M289" s="170" t="str">
        <x:v>Core finisher</x:v>
      </x:c>
      <x:c r="N289" s="170" t="str">
        <x:v>To verify</x:v>
      </x:c>
    </x:row>
    <x:row r="290">
      <x:c r="A290" s="220" t="n">
        <x:v>46253</x:v>
      </x:c>
      <x:c r="B290" s="170" t="str">
        <x:v>Biceps</x:v>
      </x:c>
      <x:c r="C290" s="170" t="str">
        <x:v>Straight Bar Curl</x:v>
      </x:c>
      <x:c r="D290" s="170" t="n">
        <x:v>1</x:v>
      </x:c>
      <x:c r="E290" s="170" t="n">
        <x:v>7.5</x:v>
      </x:c>
      <x:c r="F290" s="170" t="str">
        <x:v>kg plates each side; bar excluded</x:v>
      </x:c>
      <x:c r="G290" s="170" t="n">
        <x:v>15</x:v>
      </x:c>
      <x:c r="H290" s="170" t="str">
        <x:v>Clean; no assistance or body swing</x:v>
      </x:c>
      <x:c r="I290" s="170" t="str">
        <x:v>Usual overall biceps sensation; no unusual lower-biceps symptom; no elbow, wrist or shoulder pain</x:v>
      </x:c>
      <x:c r="J290" s="170" t="str">
        <x:v>Low final</x:v>
      </x:c>
      <x:c r="K290" s="170" t="str">
        <x:v>Good</x:v>
      </x:c>
      <x:c r="L290" s="170"/>
      <x:c r="M290" s="170" t="str">
        <x:v>Working</x:v>
      </x:c>
      <x:c r="N290" s="170" t="n">
        <x:v>3</x:v>
      </x:c>
    </x:row>
    <x:row r="291">
      <x:c r="A291" s="220" t="n">
        <x:v>46253</x:v>
      </x:c>
      <x:c r="B291" s="170" t="str">
        <x:v>Biceps</x:v>
      </x:c>
      <x:c r="C291" s="170" t="str">
        <x:v>Straight Bar Curl</x:v>
      </x:c>
      <x:c r="D291" s="170" t="n">
        <x:v>2</x:v>
      </x:c>
      <x:c r="E291" s="170" t="n">
        <x:v>10</x:v>
      </x:c>
      <x:c r="F291" s="170" t="str">
        <x:v>kg plates each side; bar excluded</x:v>
      </x:c>
      <x:c r="G291" s="170" t="n">
        <x:v>13</x:v>
      </x:c>
      <x:c r="H291" s="170" t="str">
        <x:v>Clean; no assistance or body swing</x:v>
      </x:c>
      <x:c r="I291" s="170" t="str">
        <x:v>Usual overall biceps sensation; no unusual lower-biceps symptom; no elbow, wrist or shoulder pain</x:v>
      </x:c>
      <x:c r="J291" s="170" t="str">
        <x:v>Low final</x:v>
      </x:c>
      <x:c r="K291" s="170" t="str">
        <x:v>Good</x:v>
      </x:c>
      <x:c r="L291" s="170"/>
      <x:c r="M291" s="170" t="str">
        <x:v>Working</x:v>
      </x:c>
      <x:c r="N291" s="170" t="n">
        <x:v>2</x:v>
      </x:c>
    </x:row>
    <x:row r="292">
      <x:c r="A292" s="220" t="n">
        <x:v>46253</x:v>
      </x:c>
      <x:c r="B292" s="170" t="str">
        <x:v>Biceps</x:v>
      </x:c>
      <x:c r="C292" s="170" t="str">
        <x:v>Straight Bar Curl</x:v>
      </x:c>
      <x:c r="D292" s="170" t="n">
        <x:v>3</x:v>
      </x:c>
      <x:c r="E292" s="170" t="n">
        <x:v>12.5</x:v>
      </x:c>
      <x:c r="F292" s="170" t="str">
        <x:v>kg plates each side; bar excluded</x:v>
      </x:c>
      <x:c r="G292" s="170" t="n">
        <x:v>11</x:v>
      </x:c>
      <x:c r="H292" s="170" t="str">
        <x:v>Clean; no assistance or body swing</x:v>
      </x:c>
      <x:c r="I292" s="170" t="str">
        <x:v>Usual overall biceps sensation; no unusual lower-biceps symptom; no elbow, wrist or shoulder pain</x:v>
      </x:c>
      <x:c r="J292" s="170" t="str">
        <x:v>Low final</x:v>
      </x:c>
      <x:c r="K292" s="170" t="str">
        <x:v>Good</x:v>
      </x:c>
      <x:c r="L292" s="170"/>
      <x:c r="M292" s="170" t="str">
        <x:v>Working</x:v>
      </x:c>
      <x:c r="N292" s="170" t="n">
        <x:v>2</x:v>
      </x:c>
    </x:row>
    <x:row r="293">
      <x:c r="A293" s="220" t="n">
        <x:v>46253</x:v>
      </x:c>
      <x:c r="B293" s="170" t="str">
        <x:v>Biceps</x:v>
      </x:c>
      <x:c r="C293" s="170" t="str">
        <x:v>Straight Bar Curl</x:v>
      </x:c>
      <x:c r="D293" s="170" t="n">
        <x:v>4</x:v>
      </x:c>
      <x:c r="E293" s="170" t="n">
        <x:v>15</x:v>
      </x:c>
      <x:c r="F293" s="170" t="str">
        <x:v>kg plates each side; bar excluded</x:v>
      </x:c>
      <x:c r="G293" s="170" t="n">
        <x:v>8</x:v>
      </x:c>
      <x:c r="H293" s="170" t="str">
        <x:v>Clean; no assistance or body swing</x:v>
      </x:c>
      <x:c r="I293" s="170" t="str">
        <x:v>Usual overall biceps sensation; no unusual lower-biceps symptom; no elbow, wrist or shoulder pain</x:v>
      </x:c>
      <x:c r="J293" s="170" t="str">
        <x:v>Low final</x:v>
      </x:c>
      <x:c r="K293" s="170" t="str">
        <x:v>Good</x:v>
      </x:c>
      <x:c r="L293" s="170" t="str">
        <x:v>Progressed from 7 reps at RIR 1 to 8 reps at RIR 2</x:v>
      </x:c>
      <x:c r="M293" s="170" t="str">
        <x:v>Working</x:v>
      </x:c>
      <x:c r="N293" s="170" t="n">
        <x:v>2</x:v>
      </x:c>
    </x:row>
    <x:row r="294">
      <x:c r="A294" s="220" t="n">
        <x:v>46253</x:v>
      </x:c>
      <x:c r="B294" s="170" t="str">
        <x:v>Biceps</x:v>
      </x:c>
      <x:c r="C294" s="170" t="str">
        <x:v>Incline Dumbbell Curl</x:v>
      </x:c>
      <x:c r="D294" s="170" t="n">
        <x:v>1</x:v>
      </x:c>
      <x:c r="E294" s="170" t="n">
        <x:v>7.5</x:v>
      </x:c>
      <x:c r="F294" s="170" t="str">
        <x:v>kg each dumbbell</x:v>
      </x:c>
      <x:c r="G294" s="170" t="n">
        <x:v>15</x:v>
      </x:c>
      <x:c r="H294" s="170" t="str">
        <x:v>Clean and controlled; no shoulder pain</x:v>
      </x:c>
      <x:c r="I294" s="170" t="str">
        <x:v>Usual overall biceps sensation; no unusual lower-biceps symptom; no elbow, wrist or shoulder pain</x:v>
      </x:c>
      <x:c r="J294" s="170" t="str">
        <x:v>Low final</x:v>
      </x:c>
      <x:c r="K294" s="170" t="str">
        <x:v>Good</x:v>
      </x:c>
      <x:c r="L294" s="170"/>
      <x:c r="M294" s="170" t="str">
        <x:v>Working</x:v>
      </x:c>
      <x:c r="N294" s="170" t="n">
        <x:v>2</x:v>
      </x:c>
    </x:row>
    <x:row r="295">
      <x:c r="A295" s="220" t="n">
        <x:v>46253</x:v>
      </x:c>
      <x:c r="B295" s="170" t="str">
        <x:v>Biceps</x:v>
      </x:c>
      <x:c r="C295" s="170" t="str">
        <x:v>Incline Dumbbell Curl</x:v>
      </x:c>
      <x:c r="D295" s="170" t="n">
        <x:v>2</x:v>
      </x:c>
      <x:c r="E295" s="170" t="n">
        <x:v>10</x:v>
      </x:c>
      <x:c r="F295" s="170" t="str">
        <x:v>kg each dumbbell</x:v>
      </x:c>
      <x:c r="G295" s="170" t="n">
        <x:v>13</x:v>
      </x:c>
      <x:c r="H295" s="170" t="str">
        <x:v>Clean and controlled; no shoulder pain</x:v>
      </x:c>
      <x:c r="I295" s="170" t="str">
        <x:v>Usual overall biceps sensation; no unusual lower-biceps symptom; no elbow, wrist or shoulder pain</x:v>
      </x:c>
      <x:c r="J295" s="170" t="str">
        <x:v>Low final</x:v>
      </x:c>
      <x:c r="K295" s="170" t="str">
        <x:v>Good</x:v>
      </x:c>
      <x:c r="L295" s="170"/>
      <x:c r="M295" s="170" t="str">
        <x:v>Working</x:v>
      </x:c>
      <x:c r="N295" s="170" t="n">
        <x:v>2</x:v>
      </x:c>
    </x:row>
    <x:row r="296">
      <x:c r="A296" s="220" t="n">
        <x:v>46253</x:v>
      </x:c>
      <x:c r="B296" s="170" t="str">
        <x:v>Biceps</x:v>
      </x:c>
      <x:c r="C296" s="170" t="str">
        <x:v>Incline Dumbbell Curl</x:v>
      </x:c>
      <x:c r="D296" s="170" t="n">
        <x:v>3</x:v>
      </x:c>
      <x:c r="E296" s="170" t="n">
        <x:v>12.5</x:v>
      </x:c>
      <x:c r="F296" s="170" t="str">
        <x:v>kg each dumbbell</x:v>
      </x:c>
      <x:c r="G296" s="170" t="n">
        <x:v>9</x:v>
      </x:c>
      <x:c r="H296" s="170" t="str">
        <x:v>Clean and controlled; no shoulder pain</x:v>
      </x:c>
      <x:c r="I296" s="170" t="str">
        <x:v>Usual overall biceps sensation; no unusual lower-biceps symptom; no elbow, wrist or shoulder pain</x:v>
      </x:c>
      <x:c r="J296" s="170" t="str">
        <x:v>Low final</x:v>
      </x:c>
      <x:c r="K296" s="170" t="str">
        <x:v>Good</x:v>
      </x:c>
      <x:c r="L296" s="170" t="str">
        <x:v>New tracked baseline; replaced Cable Curl in active sequence</x:v>
      </x:c>
      <x:c r="M296" s="170" t="str">
        <x:v>Working</x:v>
      </x:c>
      <x:c r="N296" s="170" t="n">
        <x:v>2</x:v>
      </x:c>
    </x:row>
    <x:row r="297">
      <x:c r="A297" s="220" t="n">
        <x:v>46253</x:v>
      </x:c>
      <x:c r="B297" s="170" t="str">
        <x:v>Biceps</x:v>
      </x:c>
      <x:c r="C297" s="170" t="str">
        <x:v>Plate Curl Machine</x:v>
      </x:c>
      <x:c r="D297" s="170" t="n">
        <x:v>1</x:v>
      </x:c>
      <x:c r="E297" s="170" t="n">
        <x:v>7.5</x:v>
      </x:c>
      <x:c r="F297" s="170" t="str">
        <x:v>kg plates each side</x:v>
      </x:c>
      <x:c r="G297" s="170" t="n">
        <x:v>15</x:v>
      </x:c>
      <x:c r="H297" s="170" t="str">
        <x:v>Clean and controlled</x:v>
      </x:c>
      <x:c r="I297" s="170" t="str">
        <x:v>Usual overall biceps sensation; no unusual lower-biceps symptom; no elbow, wrist or shoulder pain</x:v>
      </x:c>
      <x:c r="J297" s="170" t="str">
        <x:v>Low final</x:v>
      </x:c>
      <x:c r="K297" s="170" t="str">
        <x:v>Good</x:v>
      </x:c>
      <x:c r="L297" s="170"/>
      <x:c r="M297" s="170" t="str">
        <x:v>Working</x:v>
      </x:c>
      <x:c r="N297" s="170" t="n">
        <x:v>3</x:v>
      </x:c>
    </x:row>
    <x:row r="298">
      <x:c r="A298" s="220" t="n">
        <x:v>46253</x:v>
      </x:c>
      <x:c r="B298" s="170" t="str">
        <x:v>Biceps</x:v>
      </x:c>
      <x:c r="C298" s="170" t="str">
        <x:v>Plate Curl Machine</x:v>
      </x:c>
      <x:c r="D298" s="170" t="n">
        <x:v>2</x:v>
      </x:c>
      <x:c r="E298" s="170" t="n">
        <x:v>10</x:v>
      </x:c>
      <x:c r="F298" s="170" t="str">
        <x:v>kg plates each side</x:v>
      </x:c>
      <x:c r="G298" s="170" t="n">
        <x:v>12</x:v>
      </x:c>
      <x:c r="H298" s="170" t="str">
        <x:v>Clean and controlled</x:v>
      </x:c>
      <x:c r="I298" s="170" t="str">
        <x:v>Usual overall biceps sensation; no unusual lower-biceps symptom; no elbow, wrist or shoulder pain</x:v>
      </x:c>
      <x:c r="J298" s="170" t="str">
        <x:v>Low final</x:v>
      </x:c>
      <x:c r="K298" s="170" t="str">
        <x:v>Good</x:v>
      </x:c>
      <x:c r="L298" s="170"/>
      <x:c r="M298" s="170" t="str">
        <x:v>Working</x:v>
      </x:c>
      <x:c r="N298" s="170" t="n">
        <x:v>2</x:v>
      </x:c>
    </x:row>
    <x:row r="299">
      <x:c r="A299" s="220" t="n">
        <x:v>46253</x:v>
      </x:c>
      <x:c r="B299" s="170" t="str">
        <x:v>Biceps</x:v>
      </x:c>
      <x:c r="C299" s="170" t="str">
        <x:v>Plate Curl Machine</x:v>
      </x:c>
      <x:c r="D299" s="170" t="n">
        <x:v>3</x:v>
      </x:c>
      <x:c r="E299" s="170" t="n">
        <x:v>12.5</x:v>
      </x:c>
      <x:c r="F299" s="170" t="str">
        <x:v>kg plates each side</x:v>
      </x:c>
      <x:c r="G299" s="170" t="n">
        <x:v>10</x:v>
      </x:c>
      <x:c r="H299" s="170" t="str">
        <x:v>Clean and controlled</x:v>
      </x:c>
      <x:c r="I299" s="170" t="str">
        <x:v>Usual overall biceps sensation; no unusual lower-biceps symptom; no elbow, wrist or shoulder pain</x:v>
      </x:c>
      <x:c r="J299" s="170" t="str">
        <x:v>Low final</x:v>
      </x:c>
      <x:c r="K299" s="170" t="str">
        <x:v>Good</x:v>
      </x:c>
      <x:c r="L299" s="170" t="str">
        <x:v>Progressed from 9 reps at RIR 1 to 10 reps at RIR 2</x:v>
      </x:c>
      <x:c r="M299" s="170" t="str">
        <x:v>Working</x:v>
      </x:c>
      <x:c r="N299" s="170" t="n">
        <x:v>2</x:v>
      </x:c>
    </x:row>
    <x:row r="300">
      <x:c r="A300" s="220" t="n">
        <x:v>46253</x:v>
      </x:c>
      <x:c r="B300" s="170" t="str">
        <x:v>Biceps</x:v>
      </x:c>
      <x:c r="C300" s="170" t="str">
        <x:v>Hammer Curl</x:v>
      </x:c>
      <x:c r="D300" s="170" t="n">
        <x:v>1</x:v>
      </x:c>
      <x:c r="E300" s="170" t="n">
        <x:v>12.5</x:v>
      </x:c>
      <x:c r="F300" s="170" t="str">
        <x:v>kg each dumbbell</x:v>
      </x:c>
      <x:c r="G300" s="170" t="n">
        <x:v>17</x:v>
      </x:c>
      <x:c r="H300" s="170" t="str">
        <x:v>Clean; no assistance or body swing</x:v>
      </x:c>
      <x:c r="I300" s="170" t="str">
        <x:v>Usual overall biceps sensation; no unusual lower-biceps symptom; no elbow, wrist or shoulder pain</x:v>
      </x:c>
      <x:c r="J300" s="170" t="str">
        <x:v>Low final</x:v>
      </x:c>
      <x:c r="K300" s="170" t="str">
        <x:v>Good</x:v>
      </x:c>
      <x:c r="L300" s="170" t="str">
        <x:v>Progressed from 15 to 17 reps</x:v>
      </x:c>
      <x:c r="M300" s="170" t="str">
        <x:v>Working</x:v>
      </x:c>
      <x:c r="N300" s="170" t="n">
        <x:v>2</x:v>
      </x:c>
    </x:row>
    <x:row r="301">
      <x:c r="A301" s="220" t="n">
        <x:v>46253</x:v>
      </x:c>
      <x:c r="B301" s="170" t="str">
        <x:v>Biceps</x:v>
      </x:c>
      <x:c r="C301" s="170" t="str">
        <x:v>Hammer Curl</x:v>
      </x:c>
      <x:c r="D301" s="170" t="n">
        <x:v>2</x:v>
      </x:c>
      <x:c r="E301" s="170" t="n">
        <x:v>15</x:v>
      </x:c>
      <x:c r="F301" s="170" t="str">
        <x:v>kg each dumbbell</x:v>
      </x:c>
      <x:c r="G301" s="170" t="n">
        <x:v>13</x:v>
      </x:c>
      <x:c r="H301" s="170" t="str">
        <x:v>Clean; no assistance or body swing</x:v>
      </x:c>
      <x:c r="I301" s="170" t="str">
        <x:v>Usual overall biceps sensation; no unusual lower-biceps symptom; no elbow, wrist or shoulder pain</x:v>
      </x:c>
      <x:c r="J301" s="170" t="str">
        <x:v>Low final</x:v>
      </x:c>
      <x:c r="K301" s="170" t="str">
        <x:v>Good</x:v>
      </x:c>
      <x:c r="L301" s="170"/>
      <x:c r="M301" s="170" t="str">
        <x:v>Working</x:v>
      </x:c>
      <x:c r="N301" s="170" t="n">
        <x:v>2</x:v>
      </x:c>
    </x:row>
    <x:row r="302">
      <x:c r="A302" s="220" t="n">
        <x:v>46253</x:v>
      </x:c>
      <x:c r="B302" s="170" t="str">
        <x:v>Biceps</x:v>
      </x:c>
      <x:c r="C302" s="170" t="str">
        <x:v>Hammer Curl</x:v>
      </x:c>
      <x:c r="D302" s="170" t="n">
        <x:v>3</x:v>
      </x:c>
      <x:c r="E302" s="170" t="n">
        <x:v>17.5</x:v>
      </x:c>
      <x:c r="F302" s="170" t="str">
        <x:v>kg each dumbbell</x:v>
      </x:c>
      <x:c r="G302" s="170" t="n">
        <x:v>11</x:v>
      </x:c>
      <x:c r="H302" s="170" t="str">
        <x:v>Clean; no assistance or body swing</x:v>
      </x:c>
      <x:c r="I302" s="170" t="str">
        <x:v>Usual overall biceps sensation; no unusual lower-biceps symptom; no elbow, wrist or shoulder pain</x:v>
      </x:c>
      <x:c r="J302" s="170" t="str">
        <x:v>Low final</x:v>
      </x:c>
      <x:c r="K302" s="170" t="str">
        <x:v>Good</x:v>
      </x:c>
      <x:c r="L302" s="170" t="str">
        <x:v>Maintained reps while improving from RIR 1 to RIR 2</x:v>
      </x:c>
      <x:c r="M302" s="170" t="str">
        <x:v>Working</x:v>
      </x:c>
      <x:c r="N302" s="170" t="n">
        <x:v>2</x:v>
      </x:c>
    </x:row>
    <x:row r="303">
      <x:c r="A303" s="220" t="n">
        <x:v>46253</x:v>
      </x:c>
      <x:c r="B303" s="170" t="str">
        <x:v>Biceps</x:v>
      </x:c>
      <x:c r="C303" s="170" t="str">
        <x:v>Concentration Curl</x:v>
      </x:c>
      <x:c r="D303" s="170" t="n">
        <x:v>1</x:v>
      </x:c>
      <x:c r="E303" s="170" t="n">
        <x:v>7.5</x:v>
      </x:c>
      <x:c r="F303" s="170" t="str">
        <x:v>kg each dumbbell</x:v>
      </x:c>
      <x:c r="G303" s="170" t="n">
        <x:v>16</x:v>
      </x:c>
      <x:c r="H303" s="170" t="str">
        <x:v>Clean and controlled; no assistance or body swing</x:v>
      </x:c>
      <x:c r="I303" s="170" t="str">
        <x:v>Usual overall biceps sensation; no unusual lower-biceps symptom; no elbow, wrist or shoulder pain</x:v>
      </x:c>
      <x:c r="J303" s="170" t="str">
        <x:v>Low final</x:v>
      </x:c>
      <x:c r="K303" s="170" t="str">
        <x:v>Good</x:v>
      </x:c>
      <x:c r="L303" s="170"/>
      <x:c r="M303" s="170" t="str">
        <x:v>Working</x:v>
      </x:c>
      <x:c r="N303" s="170" t="n">
        <x:v>3</x:v>
      </x:c>
    </x:row>
    <x:row r="304">
      <x:c r="A304" s="220" t="n">
        <x:v>46253</x:v>
      </x:c>
      <x:c r="B304" s="170" t="str">
        <x:v>Biceps</x:v>
      </x:c>
      <x:c r="C304" s="170" t="str">
        <x:v>Concentration Curl</x:v>
      </x:c>
      <x:c r="D304" s="170" t="n">
        <x:v>2</x:v>
      </x:c>
      <x:c r="E304" s="170" t="n">
        <x:v>10</x:v>
      </x:c>
      <x:c r="F304" s="170" t="str">
        <x:v>kg each dumbbell</x:v>
      </x:c>
      <x:c r="G304" s="170" t="n">
        <x:v>13</x:v>
      </x:c>
      <x:c r="H304" s="170" t="str">
        <x:v>Clean and controlled; no assistance or body swing</x:v>
      </x:c>
      <x:c r="I304" s="170" t="str">
        <x:v>Usual overall biceps sensation; no unusual lower-biceps symptom; no elbow, wrist or shoulder pain</x:v>
      </x:c>
      <x:c r="J304" s="170" t="str">
        <x:v>Low final</x:v>
      </x:c>
      <x:c r="K304" s="170" t="str">
        <x:v>Good</x:v>
      </x:c>
      <x:c r="L304" s="170"/>
      <x:c r="M304" s="170" t="str">
        <x:v>Working</x:v>
      </x:c>
      <x:c r="N304" s="170" t="n">
        <x:v>2</x:v>
      </x:c>
    </x:row>
    <x:row r="305">
      <x:c r="A305" s="220" t="n">
        <x:v>46253</x:v>
      </x:c>
      <x:c r="B305" s="170" t="str">
        <x:v>Biceps</x:v>
      </x:c>
      <x:c r="C305" s="170" t="str">
        <x:v>Concentration Curl</x:v>
      </x:c>
      <x:c r="D305" s="170" t="n">
        <x:v>3</x:v>
      </x:c>
      <x:c r="E305" s="170" t="n">
        <x:v>12.5</x:v>
      </x:c>
      <x:c r="F305" s="170" t="str">
        <x:v>kg each dumbbell</x:v>
      </x:c>
      <x:c r="G305" s="170" t="n">
        <x:v>10</x:v>
      </x:c>
      <x:c r="H305" s="170" t="str">
        <x:v>Clean and controlled; no assistance or body swing</x:v>
      </x:c>
      <x:c r="I305" s="170" t="str">
        <x:v>Usual overall biceps sensation; no unusual lower-biceps symptom; no elbow, wrist or shoulder pain</x:v>
      </x:c>
      <x:c r="J305" s="170" t="str">
        <x:v>Low final</x:v>
      </x:c>
      <x:c r="K305" s="170" t="str">
        <x:v>Good</x:v>
      </x:c>
      <x:c r="L305" s="170" t="str">
        <x:v>Unplanned third set; progressed from 9 to 10 reps without failure</x:v>
      </x:c>
      <x:c r="M305" s="170" t="str">
        <x:v>Working</x:v>
      </x:c>
      <x:c r="N305" s="170" t="n">
        <x:v>1</x:v>
      </x:c>
    </x:row>
    <x:row r="306">
      <x:c r="A306" s="220" t="n">
        <x:v>46253</x:v>
      </x:c>
      <x:c r="B306" s="170" t="str">
        <x:v>Biceps</x:v>
      </x:c>
      <x:c r="C306" s="170" t="str">
        <x:v>Reverse EZ-Bar Curl</x:v>
      </x:c>
      <x:c r="D306" s="170" t="n">
        <x:v>1</x:v>
      </x:c>
      <x:c r="E306" s="170" t="n">
        <x:v>7.5</x:v>
      </x:c>
      <x:c r="F306" s="170" t="str">
        <x:v>kg plates each side; bar excluded</x:v>
      </x:c>
      <x:c r="G306" s="170" t="n">
        <x:v>13</x:v>
      </x:c>
      <x:c r="H306" s="170" t="str">
        <x:v>Clean; no assistance or body swing</x:v>
      </x:c>
      <x:c r="I306" s="170" t="str">
        <x:v>Usual overall biceps sensation; no unusual lower-biceps symptom; no elbow, wrist or shoulder pain</x:v>
      </x:c>
      <x:c r="J306" s="170" t="str">
        <x:v>Low final</x:v>
      </x:c>
      <x:c r="K306" s="170" t="str">
        <x:v>Good</x:v>
      </x:c>
      <x:c r="L306" s="170" t="str">
        <x:v>Rep target met but one RIR harder than planned</x:v>
      </x:c>
      <x:c r="M306" s="170" t="str">
        <x:v>Working</x:v>
      </x:c>
      <x:c r="N306" s="170" t="n">
        <x:v>1</x:v>
      </x:c>
    </x:row>
    <x:row r="307">
      <x:c r="A307" s="220" t="n">
        <x:v>46253</x:v>
      </x:c>
      <x:c r="B307" s="170" t="str">
        <x:v>Biceps</x:v>
      </x:c>
      <x:c r="C307" s="170" t="str">
        <x:v>Reverse EZ-Bar Curl</x:v>
      </x:c>
      <x:c r="D307" s="170" t="n">
        <x:v>2</x:v>
      </x:c>
      <x:c r="E307" s="170" t="n">
        <x:v>10</x:v>
      </x:c>
      <x:c r="F307" s="170" t="str">
        <x:v>kg plates each side; bar excluded</x:v>
      </x:c>
      <x:c r="G307" s="170" t="n">
        <x:v>11</x:v>
      </x:c>
      <x:c r="H307" s="170" t="str">
        <x:v>Clean; no assistance or body swing</x:v>
      </x:c>
      <x:c r="I307" s="170" t="str">
        <x:v>Usual overall biceps sensation; no unusual lower-biceps symptom; no elbow, wrist or shoulder pain</x:v>
      </x:c>
      <x:c r="J307" s="170" t="str">
        <x:v>Low final</x:v>
      </x:c>
      <x:c r="K307" s="170" t="str">
        <x:v>Good</x:v>
      </x:c>
      <x:c r="L307" s="170" t="str">
        <x:v>Only two sets used to preserve the 18-set cap</x:v>
      </x:c>
      <x:c r="M307" s="170" t="str">
        <x:v>Working</x:v>
      </x:c>
      <x:c r="N307" s="170" t="n">
        <x:v>1</x:v>
      </x:c>
    </x:row>
    <x:row r="308">
      <x:c r="A308" s="220" t="n">
        <x:v>46254</x:v>
      </x:c>
      <x:c r="B308" s="170" t="str">
        <x:v>Legs</x:v>
      </x:c>
      <x:c r="C308" s="170" t="str">
        <x:v>Dumbbell Romanian Deadlift</x:v>
      </x:c>
      <x:c r="D308" s="170" t="n">
        <x:v>1</x:v>
      </x:c>
      <x:c r="E308" s="170" t="n">
        <x:v>12.5</x:v>
      </x:c>
      <x:c r="F308" s="170" t="str">
        <x:v>kg each dumbbell</x:v>
      </x:c>
      <x:c r="G308" s="170" t="n">
        <x:v>12</x:v>
      </x:c>
      <x:c r="H308" s="170" t="str">
        <x:v>Hamstrings felt, but lower-back involvement dominant; technique baseline only</x:v>
      </x:c>
      <x:c r="I308" s="170" t="str">
        <x:v>Post: normal lower-back pump; little hip pain (side, location, trigger and 0-10 severity To verify); no knee pain reported</x:v>
      </x:c>
      <x:c r="J308" s="170" t="str">
        <x:v>Low final</x:v>
      </x:c>
      <x:c r="K308" s="170" t="str">
        <x:v>Good</x:v>
      </x:c>
      <x:c r="L308" s="170"/>
      <x:c r="M308" s="170" t="str">
        <x:v>Working</x:v>
      </x:c>
      <x:c r="N308" s="170" t="n">
        <x:v>2</x:v>
      </x:c>
    </x:row>
    <x:row r="309">
      <x:c r="A309" s="220" t="n">
        <x:v>46254</x:v>
      </x:c>
      <x:c r="B309" s="170" t="str">
        <x:v>Legs</x:v>
      </x:c>
      <x:c r="C309" s="170" t="str">
        <x:v>Dumbbell Romanian Deadlift</x:v>
      </x:c>
      <x:c r="D309" s="170" t="n">
        <x:v>2</x:v>
      </x:c>
      <x:c r="E309" s="170" t="n">
        <x:v>15</x:v>
      </x:c>
      <x:c r="F309" s="170" t="str">
        <x:v>kg each dumbbell</x:v>
      </x:c>
      <x:c r="G309" s="170" t="n">
        <x:v>12</x:v>
      </x:c>
      <x:c r="H309" s="170" t="str">
        <x:v>Hamstrings felt, but lower-back involvement dominant; technique baseline only</x:v>
      </x:c>
      <x:c r="I309" s="170" t="str">
        <x:v>Post: normal lower-back pump; little hip pain (side, location, trigger and 0-10 severity To verify); no knee pain reported</x:v>
      </x:c>
      <x:c r="J309" s="170" t="str">
        <x:v>Low final</x:v>
      </x:c>
      <x:c r="K309" s="170" t="str">
        <x:v>Good</x:v>
      </x:c>
      <x:c r="L309" s="170"/>
      <x:c r="M309" s="170" t="str">
        <x:v>Working</x:v>
      </x:c>
      <x:c r="N309" s="170" t="n">
        <x:v>2</x:v>
      </x:c>
    </x:row>
    <x:row r="310">
      <x:c r="A310" s="220" t="n">
        <x:v>46254</x:v>
      </x:c>
      <x:c r="B310" s="170" t="str">
        <x:v>Legs</x:v>
      </x:c>
      <x:c r="C310" s="170" t="str">
        <x:v>Dumbbell Romanian Deadlift</x:v>
      </x:c>
      <x:c r="D310" s="170" t="n">
        <x:v>3</x:v>
      </x:c>
      <x:c r="E310" s="170" t="n">
        <x:v>15</x:v>
      </x:c>
      <x:c r="F310" s="170" t="str">
        <x:v>kg each dumbbell</x:v>
      </x:c>
      <x:c r="G310" s="170" t="n">
        <x:v>12</x:v>
      </x:c>
      <x:c r="H310" s="170" t="str">
        <x:v>Hamstrings felt, but lower-back involvement dominant; technique baseline only</x:v>
      </x:c>
      <x:c r="I310" s="170" t="str">
        <x:v>Post: normal lower-back pump; little hip pain (side, location, trigger and 0-10 severity To verify); no knee pain reported</x:v>
      </x:c>
      <x:c r="J310" s="170" t="str">
        <x:v>Low final</x:v>
      </x:c>
      <x:c r="K310" s="170" t="str">
        <x:v>Good</x:v>
      </x:c>
      <x:c r="L310" s="170" t="str">
        <x:v>Do not add load; reset hinge technique next Legs session</x:v>
      </x:c>
      <x:c r="M310" s="170" t="str">
        <x:v>Working</x:v>
      </x:c>
      <x:c r="N310" s="170" t="n">
        <x:v>2</x:v>
      </x:c>
    </x:row>
    <x:row r="311">
      <x:c r="A311" s="220" t="n">
        <x:v>46254</x:v>
      </x:c>
      <x:c r="B311" s="170" t="str">
        <x:v>Legs</x:v>
      </x:c>
      <x:c r="C311" s="170" t="str">
        <x:v>Hack Squat</x:v>
      </x:c>
      <x:c r="D311" s="170" t="n">
        <x:v>1</x:v>
      </x:c>
      <x:c r="E311" s="170" t="n">
        <x:v>35</x:v>
      </x:c>
      <x:c r="F311" s="170" t="str">
        <x:v>kg plates each side</x:v>
      </x:c>
      <x:c r="G311" s="170" t="n">
        <x:v>15</x:v>
      </x:c>
      <x:c r="H311" s="170" t="str">
        <x:v>Controlled; no assistance reported</x:v>
      </x:c>
      <x:c r="I311" s="170" t="str">
        <x:v>Post: normal lower-back pump; little hip pain (side, location, trigger and 0-10 severity To verify); no knee pain reported</x:v>
      </x:c>
      <x:c r="J311" s="170" t="str">
        <x:v>Low final</x:v>
      </x:c>
      <x:c r="K311" s="170" t="str">
        <x:v>Good</x:v>
      </x:c>
      <x:c r="L311" s="170"/>
      <x:c r="M311" s="170" t="str">
        <x:v>Working</x:v>
      </x:c>
      <x:c r="N311" s="170" t="n">
        <x:v>2</x:v>
      </x:c>
    </x:row>
    <x:row r="312">
      <x:c r="A312" s="220" t="n">
        <x:v>46254</x:v>
      </x:c>
      <x:c r="B312" s="170" t="str">
        <x:v>Legs</x:v>
      </x:c>
      <x:c r="C312" s="170" t="str">
        <x:v>Hack Squat</x:v>
      </x:c>
      <x:c r="D312" s="170" t="n">
        <x:v>2</x:v>
      </x:c>
      <x:c r="E312" s="170" t="n">
        <x:v>45</x:v>
      </x:c>
      <x:c r="F312" s="170" t="str">
        <x:v>kg plates each side</x:v>
      </x:c>
      <x:c r="G312" s="170" t="n">
        <x:v>12</x:v>
      </x:c>
      <x:c r="H312" s="170" t="str">
        <x:v>Controlled; no assistance reported</x:v>
      </x:c>
      <x:c r="I312" s="170" t="str">
        <x:v>Post: normal lower-back pump; little hip pain (side, location, trigger and 0-10 severity To verify); no knee pain reported</x:v>
      </x:c>
      <x:c r="J312" s="170" t="str">
        <x:v>Low final</x:v>
      </x:c>
      <x:c r="K312" s="170" t="str">
        <x:v>Good</x:v>
      </x:c>
      <x:c r="L312" s="170"/>
      <x:c r="M312" s="170" t="str">
        <x:v>Working</x:v>
      </x:c>
      <x:c r="N312" s="170" t="n">
        <x:v>2</x:v>
      </x:c>
    </x:row>
    <x:row r="313">
      <x:c r="A313" s="220" t="n">
        <x:v>46254</x:v>
      </x:c>
      <x:c r="B313" s="170" t="str">
        <x:v>Legs</x:v>
      </x:c>
      <x:c r="C313" s="170" t="str">
        <x:v>Hack Squat</x:v>
      </x:c>
      <x:c r="D313" s="170" t="n">
        <x:v>3</x:v>
      </x:c>
      <x:c r="E313" s="170" t="n">
        <x:v>55</x:v>
      </x:c>
      <x:c r="F313" s="170" t="str">
        <x:v>kg plates each side</x:v>
      </x:c>
      <x:c r="G313" s="170" t="n">
        <x:v>10</x:v>
      </x:c>
      <x:c r="H313" s="170" t="str">
        <x:v>Controlled; no assistance reported</x:v>
      </x:c>
      <x:c r="I313" s="170" t="str">
        <x:v>Post: normal lower-back pump; little hip pain (side, location, trigger and 0-10 severity To verify); no knee pain reported</x:v>
      </x:c>
      <x:c r="J313" s="170" t="str">
        <x:v>Low final</x:v>
      </x:c>
      <x:c r="K313" s="170" t="str">
        <x:v>Good</x:v>
      </x:c>
      <x:c r="L313" s="170"/>
      <x:c r="M313" s="170" t="str">
        <x:v>Working</x:v>
      </x:c>
      <x:c r="N313" s="170" t="n">
        <x:v>2</x:v>
      </x:c>
    </x:row>
    <x:row r="314">
      <x:c r="A314" s="220" t="n">
        <x:v>46254</x:v>
      </x:c>
      <x:c r="B314" s="170" t="str">
        <x:v>Legs</x:v>
      </x:c>
      <x:c r="C314" s="170" t="str">
        <x:v>Hack Squat</x:v>
      </x:c>
      <x:c r="D314" s="170" t="n">
        <x:v>4</x:v>
      </x:c>
      <x:c r="E314" s="170" t="n">
        <x:v>65</x:v>
      </x:c>
      <x:c r="F314" s="170" t="str">
        <x:v>kg plates each side</x:v>
      </x:c>
      <x:c r="G314" s="170" t="n">
        <x:v>10</x:v>
      </x:c>
      <x:c r="H314" s="170" t="str">
        <x:v>Controlled; no assistance reported</x:v>
      </x:c>
      <x:c r="I314" s="170" t="str">
        <x:v>Post: normal lower-back pump; little hip pain (side, location, trigger and 0-10 severity To verify); no knee pain reported</x:v>
      </x:c>
      <x:c r="J314" s="170" t="str">
        <x:v>Low final</x:v>
      </x:c>
      <x:c r="K314" s="170" t="str">
        <x:v>Good</x:v>
      </x:c>
      <x:c r="L314" s="170" t="str">
        <x:v>Progressed load while retaining RIR 2; do not add load next time</x:v>
      </x:c>
      <x:c r="M314" s="170" t="str">
        <x:v>Working</x:v>
      </x:c>
      <x:c r="N314" s="170" t="n">
        <x:v>2</x:v>
      </x:c>
    </x:row>
    <x:row r="315">
      <x:c r="A315" s="220" t="n">
        <x:v>46254</x:v>
      </x:c>
      <x:c r="B315" s="170" t="str">
        <x:v>Legs</x:v>
      </x:c>
      <x:c r="C315" s="170" t="str">
        <x:v>Leg Press</x:v>
      </x:c>
      <x:c r="D315" s="170" t="n">
        <x:v>1</x:v>
      </x:c>
      <x:c r="E315" s="170" t="n">
        <x:v>100</x:v>
      </x:c>
      <x:c r="F315" s="170" t="str">
        <x:v>kg total load</x:v>
      </x:c>
      <x:c r="G315" s="170" t="n">
        <x:v>14</x:v>
      </x:c>
      <x:c r="H315" s="170" t="str">
        <x:v>Clean; no assistance reported</x:v>
      </x:c>
      <x:c r="I315" s="170" t="str">
        <x:v>Post: normal lower-back pump; little hip pain (side, location, trigger and 0-10 severity To verify); no knee pain reported</x:v>
      </x:c>
      <x:c r="J315" s="170" t="str">
        <x:v>Low final</x:v>
      </x:c>
      <x:c r="K315" s="170" t="str">
        <x:v>Good</x:v>
      </x:c>
      <x:c r="L315" s="170"/>
      <x:c r="M315" s="170" t="str">
        <x:v>Working</x:v>
      </x:c>
      <x:c r="N315" s="170" t="n">
        <x:v>2</x:v>
      </x:c>
    </x:row>
    <x:row r="316">
      <x:c r="A316" s="220" t="n">
        <x:v>46254</x:v>
      </x:c>
      <x:c r="B316" s="170" t="str">
        <x:v>Legs</x:v>
      </x:c>
      <x:c r="C316" s="170" t="str">
        <x:v>Leg Press</x:v>
      </x:c>
      <x:c r="D316" s="170" t="n">
        <x:v>2</x:v>
      </x:c>
      <x:c r="E316" s="170" t="n">
        <x:v>120</x:v>
      </x:c>
      <x:c r="F316" s="170" t="str">
        <x:v>kg total load</x:v>
      </x:c>
      <x:c r="G316" s="170" t="n">
        <x:v>11</x:v>
      </x:c>
      <x:c r="H316" s="170" t="str">
        <x:v>Clean; no assistance reported</x:v>
      </x:c>
      <x:c r="I316" s="170" t="str">
        <x:v>Post: normal lower-back pump; little hip pain (side, location, trigger and 0-10 severity To verify); no knee pain reported</x:v>
      </x:c>
      <x:c r="J316" s="170" t="str">
        <x:v>Low final</x:v>
      </x:c>
      <x:c r="K316" s="170" t="str">
        <x:v>Good</x:v>
      </x:c>
      <x:c r="L316" s="170"/>
      <x:c r="M316" s="170" t="str">
        <x:v>Working</x:v>
      </x:c>
      <x:c r="N316" s="170" t="n">
        <x:v>2</x:v>
      </x:c>
    </x:row>
    <x:row r="317">
      <x:c r="A317" s="220" t="n">
        <x:v>46254</x:v>
      </x:c>
      <x:c r="B317" s="170" t="str">
        <x:v>Legs</x:v>
      </x:c>
      <x:c r="C317" s="170" t="str">
        <x:v>Leg Press</x:v>
      </x:c>
      <x:c r="D317" s="170" t="n">
        <x:v>3</x:v>
      </x:c>
      <x:c r="E317" s="170" t="n">
        <x:v>130</x:v>
      </x:c>
      <x:c r="F317" s="170" t="str">
        <x:v>kg total load</x:v>
      </x:c>
      <x:c r="G317" s="170" t="n">
        <x:v>9</x:v>
      </x:c>
      <x:c r="H317" s="170" t="str">
        <x:v>Clean; no assistance reported</x:v>
      </x:c>
      <x:c r="I317" s="170" t="str">
        <x:v>Post: normal lower-back pump; little hip pain (side, location, trigger and 0-10 severity To verify); no knee pain reported</x:v>
      </x:c>
      <x:c r="J317" s="170" t="str">
        <x:v>Low final</x:v>
      </x:c>
      <x:c r="K317" s="170" t="str">
        <x:v>Good</x:v>
      </x:c>
      <x:c r="L317" s="170"/>
      <x:c r="M317" s="170" t="str">
        <x:v>Working</x:v>
      </x:c>
      <x:c r="N317" s="170" t="n">
        <x:v>1</x:v>
      </x:c>
    </x:row>
    <x:row r="318">
      <x:c r="A318" s="220" t="n">
        <x:v>46254</x:v>
      </x:c>
      <x:c r="B318" s="170" t="str">
        <x:v>Legs</x:v>
      </x:c>
      <x:c r="C318" s="170" t="str">
        <x:v>Leg Press</x:v>
      </x:c>
      <x:c r="D318" s="170" t="n">
        <x:v>4</x:v>
      </x:c>
      <x:c r="E318" s="170" t="n">
        <x:v>150</x:v>
      </x:c>
      <x:c r="F318" s="170" t="str">
        <x:v>kg total load</x:v>
      </x:c>
      <x:c r="G318" s="170" t="n">
        <x:v>7</x:v>
      </x:c>
      <x:c r="H318" s="170" t="str">
        <x:v>7 total; approximately 2-3 hand-assisted; approximately 4-5 clean To verify; do not treat as 7 clean</x:v>
      </x:c>
      <x:c r="I318" s="170" t="str">
        <x:v>Post: normal lower-back pump; little hip pain (side, location, trigger and 0-10 severity To verify); no knee pain reported</x:v>
      </x:c>
      <x:c r="J318" s="170" t="str">
        <x:v>Low final</x:v>
      </x:c>
      <x:c r="K318" s="170" t="str">
        <x:v>Good</x:v>
      </x:c>
      <x:c r="L318" s="170" t="str">
        <x:v>Omit 150 kg until 130 kg is clean at target reserve and hip pain is absent</x:v>
      </x:c>
      <x:c r="M318" s="170" t="str">
        <x:v>Assisted</x:v>
      </x:c>
      <x:c r="N318" s="170" t="n">
        <x:v>1</x:v>
      </x:c>
    </x:row>
    <x:row r="319">
      <x:c r="A319" s="220" t="n">
        <x:v>46254</x:v>
      </x:c>
      <x:c r="B319" s="170" t="str">
        <x:v>Legs</x:v>
      </x:c>
      <x:c r="C319" s="170" t="str">
        <x:v>Leg Curl</x:v>
      </x:c>
      <x:c r="D319" s="170" t="n">
        <x:v>1</x:v>
      </x:c>
      <x:c r="E319" s="170" t="n">
        <x:v>30</x:v>
      </x:c>
      <x:c r="F319" s="170" t="str">
        <x:v>kg total stack</x:v>
      </x:c>
      <x:c r="G319" s="170" t="n">
        <x:v>14</x:v>
      </x:c>
      <x:c r="H319" s="170" t="str">
        <x:v>Controlled; full range To verify</x:v>
      </x:c>
      <x:c r="I319" s="170" t="str">
        <x:v>Post: normal lower-back pump; little hip pain (side, location, trigger and 0-10 severity To verify); no knee pain reported</x:v>
      </x:c>
      <x:c r="J319" s="170" t="str">
        <x:v>Low final</x:v>
      </x:c>
      <x:c r="K319" s="170" t="str">
        <x:v>Good</x:v>
      </x:c>
      <x:c r="L319" s="170"/>
      <x:c r="M319" s="170" t="str">
        <x:v>Working</x:v>
      </x:c>
      <x:c r="N319" s="170" t="n">
        <x:v>2</x:v>
      </x:c>
    </x:row>
    <x:row r="320">
      <x:c r="A320" s="220" t="n">
        <x:v>46254</x:v>
      </x:c>
      <x:c r="B320" s="170" t="str">
        <x:v>Legs</x:v>
      </x:c>
      <x:c r="C320" s="170" t="str">
        <x:v>Leg Curl</x:v>
      </x:c>
      <x:c r="D320" s="170" t="n">
        <x:v>2</x:v>
      </x:c>
      <x:c r="E320" s="170" t="n">
        <x:v>35</x:v>
      </x:c>
      <x:c r="F320" s="170" t="str">
        <x:v>kg total stack</x:v>
      </x:c>
      <x:c r="G320" s="170" t="n">
        <x:v>9</x:v>
      </x:c>
      <x:c r="H320" s="170" t="str">
        <x:v>Reached failure reserve; full range To verify</x:v>
      </x:c>
      <x:c r="I320" s="170" t="str">
        <x:v>Post: normal lower-back pump; little hip pain (side, location, trigger and 0-10 severity To verify); no knee pain reported</x:v>
      </x:c>
      <x:c r="J320" s="170" t="str">
        <x:v>Low final</x:v>
      </x:c>
      <x:c r="K320" s="170" t="str">
        <x:v>Good</x:v>
      </x:c>
      <x:c r="L320" s="170" t="str">
        <x:v>Reduce load/effort next time; no RIR 0 target</x:v>
      </x:c>
      <x:c r="M320" s="170" t="str">
        <x:v>Working</x:v>
      </x:c>
      <x:c r="N320" s="170" t="n">
        <x:v>0</x:v>
      </x:c>
    </x:row>
    <x:row r="321">
      <x:c r="A321" s="220" t="n">
        <x:v>46254</x:v>
      </x:c>
      <x:c r="B321" s="170" t="str">
        <x:v>Legs</x:v>
      </x:c>
      <x:c r="C321" s="170" t="str">
        <x:v>Leg Extension</x:v>
      </x:c>
      <x:c r="D321" s="170" t="n">
        <x:v>1</x:v>
      </x:c>
      <x:c r="E321" s="170" t="n">
        <x:v>40</x:v>
      </x:c>
      <x:c r="F321" s="170" t="str">
        <x:v>kg total stack</x:v>
      </x:c>
      <x:c r="G321" s="170" t="n">
        <x:v>14</x:v>
      </x:c>
      <x:c r="H321" s="170" t="str">
        <x:v>Controlled; no assistance reported</x:v>
      </x:c>
      <x:c r="I321" s="170" t="str">
        <x:v>Post: normal lower-back pump; little hip pain (side, location, trigger and 0-10 severity To verify); no knee pain reported</x:v>
      </x:c>
      <x:c r="J321" s="170" t="str">
        <x:v>Low final</x:v>
      </x:c>
      <x:c r="K321" s="170" t="str">
        <x:v>Good</x:v>
      </x:c>
      <x:c r="L321" s="170"/>
      <x:c r="M321" s="170" t="str">
        <x:v>Working</x:v>
      </x:c>
      <x:c r="N321" s="170" t="n">
        <x:v>2</x:v>
      </x:c>
    </x:row>
    <x:row r="322">
      <x:c r="A322" s="220" t="n">
        <x:v>46254</x:v>
      </x:c>
      <x:c r="B322" s="170" t="str">
        <x:v>Legs</x:v>
      </x:c>
      <x:c r="C322" s="170" t="str">
        <x:v>Leg Extension</x:v>
      </x:c>
      <x:c r="D322" s="170" t="n">
        <x:v>2</x:v>
      </x:c>
      <x:c r="E322" s="170" t="n">
        <x:v>45</x:v>
      </x:c>
      <x:c r="F322" s="170" t="str">
        <x:v>kg total stack</x:v>
      </x:c>
      <x:c r="G322" s="170" t="n">
        <x:v>13</x:v>
      </x:c>
      <x:c r="H322" s="170" t="str">
        <x:v>Controlled; no assistance reported</x:v>
      </x:c>
      <x:c r="I322" s="170" t="str">
        <x:v>Post: normal lower-back pump; little hip pain (side, location, trigger and 0-10 severity To verify); no knee pain reported</x:v>
      </x:c>
      <x:c r="J322" s="170" t="str">
        <x:v>Low final</x:v>
      </x:c>
      <x:c r="K322" s="170" t="str">
        <x:v>Good</x:v>
      </x:c>
      <x:c r="L322" s="170"/>
      <x:c r="M322" s="170" t="str">
        <x:v>Working</x:v>
      </x:c>
      <x:c r="N322" s="170" t="n">
        <x:v>1</x:v>
      </x:c>
    </x:row>
    <x:row r="323">
      <x:c r="A323" s="220" t="n">
        <x:v>46254</x:v>
      </x:c>
      <x:c r="B323" s="170" t="str">
        <x:v>Legs</x:v>
      </x:c>
      <x:c r="C323" s="170" t="str">
        <x:v>Leg Extension</x:v>
      </x:c>
      <x:c r="D323" s="170" t="n">
        <x:v>3</x:v>
      </x:c>
      <x:c r="E323" s="170" t="n">
        <x:v>50</x:v>
      </x:c>
      <x:c r="F323" s="170" t="str">
        <x:v>kg total stack</x:v>
      </x:c>
      <x:c r="G323" s="170" t="n">
        <x:v>11</x:v>
      </x:c>
      <x:c r="H323" s="170" t="str">
        <x:v>Controlled; no assistance reported</x:v>
      </x:c>
      <x:c r="I323" s="170" t="str">
        <x:v>Post: normal lower-back pump; little hip pain (side, location, trigger and 0-10 severity To verify); no knee pain reported</x:v>
      </x:c>
      <x:c r="J323" s="170" t="str">
        <x:v>Low final</x:v>
      </x:c>
      <x:c r="K323" s="170" t="str">
        <x:v>Good</x:v>
      </x:c>
      <x:c r="L323" s="170" t="str">
        <x:v>Progressed reps; improve reserve before load</x:v>
      </x:c>
      <x:c r="M323" s="170" t="str">
        <x:v>Working</x:v>
      </x:c>
      <x:c r="N323" s="170" t="n">
        <x:v>1</x:v>
      </x:c>
    </x:row>
    <x:row r="324">
      <x:c r="A324" s="220" t="n">
        <x:v>46254</x:v>
      </x:c>
      <x:c r="B324" s="170" t="str">
        <x:v>Legs</x:v>
      </x:c>
      <x:c r="C324" s="170" t="str">
        <x:v>Standing Calf Raise</x:v>
      </x:c>
      <x:c r="D324" s="170" t="n">
        <x:v>1</x:v>
      </x:c>
      <x:c r="E324" s="170" t="n">
        <x:v>10</x:v>
      </x:c>
      <x:c r="F324" s="170" t="str">
        <x:v>kg plates each side; guided bar excluded</x:v>
      </x:c>
      <x:c r="G324" s="170" t="n">
        <x:v>20</x:v>
      </x:c>
      <x:c r="H324" s="170" t="str">
        <x:v>Controlled; full stretch and top pause To verify</x:v>
      </x:c>
      <x:c r="I324" s="170" t="str">
        <x:v>Post: normal lower-back pump; little hip pain (side, location, trigger and 0-10 severity To verify); no knee pain reported</x:v>
      </x:c>
      <x:c r="J324" s="170" t="str">
        <x:v>Low final</x:v>
      </x:c>
      <x:c r="K324" s="170" t="str">
        <x:v>Good</x:v>
      </x:c>
      <x:c r="L324" s="170"/>
      <x:c r="M324" s="170" t="str">
        <x:v>Working</x:v>
      </x:c>
      <x:c r="N324" s="170" t="n">
        <x:v>2</x:v>
      </x:c>
    </x:row>
    <x:row r="325">
      <x:c r="A325" s="220" t="n">
        <x:v>46254</x:v>
      </x:c>
      <x:c r="B325" s="170" t="str">
        <x:v>Legs</x:v>
      </x:c>
      <x:c r="C325" s="170" t="str">
        <x:v>Standing Calf Raise</x:v>
      </x:c>
      <x:c r="D325" s="170" t="n">
        <x:v>2</x:v>
      </x:c>
      <x:c r="E325" s="170" t="n">
        <x:v>20</x:v>
      </x:c>
      <x:c r="F325" s="170" t="str">
        <x:v>kg plates each side; guided bar excluded</x:v>
      </x:c>
      <x:c r="G325" s="170" t="n">
        <x:v>16</x:v>
      </x:c>
      <x:c r="H325" s="170" t="str">
        <x:v>Controlled; full stretch and top pause To verify</x:v>
      </x:c>
      <x:c r="I325" s="170" t="str">
        <x:v>Post: normal lower-back pump; little hip pain (side, location, trigger and 0-10 severity To verify); no knee pain reported</x:v>
      </x:c>
      <x:c r="J325" s="170" t="str">
        <x:v>Low final</x:v>
      </x:c>
      <x:c r="K325" s="170" t="str">
        <x:v>Good</x:v>
      </x:c>
      <x:c r="L325" s="170" t="str">
        <x:v>Add one clean rep before load</x:v>
      </x:c>
      <x:c r="M325" s="170" t="str">
        <x:v>Working</x:v>
      </x:c>
      <x:c r="N325" s="170" t="n">
        <x:v>2</x:v>
      </x:c>
    </x:row>
    <x:row r="326">
      <x:c r="A326" s="220" t="n">
        <x:v>46255</x:v>
      </x:c>
      <x:c r="B326" s="170" t="str">
        <x:v>Shoulders</x:v>
      </x:c>
      <x:c r="C326" s="170" t="str">
        <x:v>Dumbbell Shoulder Press</x:v>
      </x:c>
      <x:c r="D326" s="170" t="n">
        <x:v>1</x:v>
      </x:c>
      <x:c r="E326" s="170" t="n">
        <x:v>15</x:v>
      </x:c>
      <x:c r="F326" s="170" t="str">
        <x:v>kg each dumbbell</x:v>
      </x:c>
      <x:c r="G326" s="170" t="n">
        <x:v>16</x:v>
      </x:c>
      <x:c r="H326" s="170" t="str">
        <x:v>Preparation set; clean; no assistance</x:v>
      </x:c>
      <x:c r="I326" s="170" t="str">
        <x:v>No shoulder, neck, elbow, wrist, hip or lower-back pain reported during or after session</x:v>
      </x:c>
      <x:c r="J326" s="170" t="str">
        <x:v>Medium final</x:v>
      </x:c>
      <x:c r="K326" s="170" t="str">
        <x:v>Good</x:v>
      </x:c>
      <x:c r="L326" s="170" t="str">
        <x:v>Excluded from working-set total</x:v>
      </x:c>
      <x:c r="M326" s="170" t="str">
        <x:v>Warm-up</x:v>
      </x:c>
      <x:c r="N326" s="170" t="n">
        <x:v>3</x:v>
      </x:c>
    </x:row>
    <x:row r="327">
      <x:c r="A327" s="220" t="n">
        <x:v>46255</x:v>
      </x:c>
      <x:c r="B327" s="170" t="str">
        <x:v>Shoulders</x:v>
      </x:c>
      <x:c r="C327" s="170" t="str">
        <x:v>Dumbbell Shoulder Press</x:v>
      </x:c>
      <x:c r="D327" s="170" t="n">
        <x:v>2</x:v>
      </x:c>
      <x:c r="E327" s="170" t="n">
        <x:v>17.5</x:v>
      </x:c>
      <x:c r="F327" s="170" t="str">
        <x:v>kg each dumbbell</x:v>
      </x:c>
      <x:c r="G327" s="170" t="n">
        <x:v>13</x:v>
      </x:c>
      <x:c r="H327" s="170" t="str">
        <x:v>Clean; no assistance</x:v>
      </x:c>
      <x:c r="I327" s="170" t="str">
        <x:v>No shoulder, neck, elbow, wrist, hip or lower-back pain reported during or after session</x:v>
      </x:c>
      <x:c r="J327" s="170" t="str">
        <x:v>Medium final</x:v>
      </x:c>
      <x:c r="K327" s="170" t="str">
        <x:v>Good</x:v>
      </x:c>
      <x:c r="L327" s="170" t="str">
        <x:v>Added one rep from prior session</x:v>
      </x:c>
      <x:c r="M327" s="170" t="str">
        <x:v>Working</x:v>
      </x:c>
      <x:c r="N327" s="170" t="n">
        <x:v>2</x:v>
      </x:c>
    </x:row>
    <x:row r="328">
      <x:c r="A328" s="220" t="n">
        <x:v>46255</x:v>
      </x:c>
      <x:c r="B328" s="170" t="str">
        <x:v>Shoulders</x:v>
      </x:c>
      <x:c r="C328" s="170" t="str">
        <x:v>Dumbbell Shoulder Press</x:v>
      </x:c>
      <x:c r="D328" s="170" t="n">
        <x:v>3</x:v>
      </x:c>
      <x:c r="E328" s="170" t="n">
        <x:v>20</x:v>
      </x:c>
      <x:c r="F328" s="170" t="str">
        <x:v>kg each dumbbell</x:v>
      </x:c>
      <x:c r="G328" s="170" t="n">
        <x:v>10</x:v>
      </x:c>
      <x:c r="H328" s="170" t="str">
        <x:v>Clean; no assistance</x:v>
      </x:c>
      <x:c r="I328" s="170" t="str">
        <x:v>No shoulder, neck, elbow, wrist, hip or lower-back pain reported during or after session</x:v>
      </x:c>
      <x:c r="J328" s="170" t="str">
        <x:v>Medium final</x:v>
      </x:c>
      <x:c r="K328" s="170" t="str">
        <x:v>Good</x:v>
      </x:c>
      <x:c r="L328" s="170" t="str">
        <x:v>Matched reps with improved reserve</x:v>
      </x:c>
      <x:c r="M328" s="170" t="str">
        <x:v>Working</x:v>
      </x:c>
      <x:c r="N328" s="170" t="n">
        <x:v>2</x:v>
      </x:c>
    </x:row>
    <x:row r="329">
      <x:c r="A329" s="220" t="n">
        <x:v>46255</x:v>
      </x:c>
      <x:c r="B329" s="170" t="str">
        <x:v>Shoulders</x:v>
      </x:c>
      <x:c r="C329" s="170" t="str">
        <x:v>Dumbbell Shoulder Press</x:v>
      </x:c>
      <x:c r="D329" s="170" t="n">
        <x:v>4</x:v>
      </x:c>
      <x:c r="E329" s="170" t="n">
        <x:v>22.5</x:v>
      </x:c>
      <x:c r="F329" s="170" t="str">
        <x:v>kg each dumbbell</x:v>
      </x:c>
      <x:c r="G329" s="170" t="n">
        <x:v>8</x:v>
      </x:c>
      <x:c r="H329" s="170" t="str">
        <x:v>Clean; no assistance</x:v>
      </x:c>
      <x:c r="I329" s="170" t="str">
        <x:v>No shoulder, neck, elbow, wrist, hip or lower-back pain reported during or after session</x:v>
      </x:c>
      <x:c r="J329" s="170" t="str">
        <x:v>Medium final</x:v>
      </x:c>
      <x:c r="K329" s="170" t="str">
        <x:v>Good</x:v>
      </x:c>
      <x:c r="L329" s="170" t="str">
        <x:v>Matched top set; improve reserve before load</x:v>
      </x:c>
      <x:c r="M329" s="170" t="str">
        <x:v>Working</x:v>
      </x:c>
      <x:c r="N329" s="170" t="n">
        <x:v>1</x:v>
      </x:c>
    </x:row>
    <x:row r="330">
      <x:c r="A330" s="220" t="n">
        <x:v>46255</x:v>
      </x:c>
      <x:c r="B330" s="170" t="str">
        <x:v>Shoulders</x:v>
      </x:c>
      <x:c r="C330" s="170" t="str">
        <x:v>Plate-Loaded Lateral Raise Machine</x:v>
      </x:c>
      <x:c r="D330" s="170" t="n">
        <x:v>1</x:v>
      </x:c>
      <x:c r="E330" s="170" t="n">
        <x:v>2.5</x:v>
      </x:c>
      <x:c r="F330" s="170" t="str">
        <x:v>kg plates each side; unloaded resistance excluded</x:v>
      </x:c>
      <x:c r="G330" s="170" t="n">
        <x:v>16</x:v>
      </x:c>
      <x:c r="H330" s="170" t="str">
        <x:v>Controlled; no shrug reported</x:v>
      </x:c>
      <x:c r="I330" s="170" t="str">
        <x:v>No shoulder, neck, elbow, wrist, hip or lower-back pain reported during or after session</x:v>
      </x:c>
      <x:c r="J330" s="170" t="str">
        <x:v>Medium final</x:v>
      </x:c>
      <x:c r="K330" s="170" t="str">
        <x:v>Good</x:v>
      </x:c>
      <x:c r="L330" s="170"/>
      <x:c r="M330" s="170" t="str">
        <x:v>Working</x:v>
      </x:c>
      <x:c r="N330" s="170" t="n">
        <x:v>2</x:v>
      </x:c>
    </x:row>
    <x:row r="331">
      <x:c r="A331" s="220" t="n">
        <x:v>46255</x:v>
      </x:c>
      <x:c r="B331" s="170" t="str">
        <x:v>Shoulders</x:v>
      </x:c>
      <x:c r="C331" s="170" t="str">
        <x:v>Plate-Loaded Lateral Raise Machine</x:v>
      </x:c>
      <x:c r="D331" s="170" t="n">
        <x:v>2</x:v>
      </x:c>
      <x:c r="E331" s="170" t="n">
        <x:v>2.5</x:v>
      </x:c>
      <x:c r="F331" s="170" t="str">
        <x:v>kg plates each side; unloaded resistance excluded</x:v>
      </x:c>
      <x:c r="G331" s="170" t="n">
        <x:v>17</x:v>
      </x:c>
      <x:c r="H331" s="170" t="str">
        <x:v>Controlled; no shrug reported</x:v>
      </x:c>
      <x:c r="I331" s="170" t="str">
        <x:v>No shoulder, neck, elbow, wrist, hip or lower-back pain reported during or after session</x:v>
      </x:c>
      <x:c r="J331" s="170" t="str">
        <x:v>Medium final</x:v>
      </x:c>
      <x:c r="K331" s="170" t="str">
        <x:v>Good</x:v>
      </x:c>
      <x:c r="L331" s="170"/>
      <x:c r="M331" s="170" t="str">
        <x:v>Working</x:v>
      </x:c>
      <x:c r="N331" s="170" t="n">
        <x:v>2</x:v>
      </x:c>
    </x:row>
    <x:row r="332">
      <x:c r="A332" s="220" t="n">
        <x:v>46255</x:v>
      </x:c>
      <x:c r="B332" s="170" t="str">
        <x:v>Shoulders</x:v>
      </x:c>
      <x:c r="C332" s="170" t="str">
        <x:v>Plate-Loaded Lateral Raise Machine</x:v>
      </x:c>
      <x:c r="D332" s="170" t="n">
        <x:v>3</x:v>
      </x:c>
      <x:c r="E332" s="170" t="n">
        <x:v>5</x:v>
      </x:c>
      <x:c r="F332" s="170" t="str">
        <x:v>kg plates each side; unloaded resistance excluded</x:v>
      </x:c>
      <x:c r="G332" s="170" t="n">
        <x:v>12</x:v>
      </x:c>
      <x:c r="H332" s="170" t="str">
        <x:v>Controlled; no shrug reported</x:v>
      </x:c>
      <x:c r="I332" s="170" t="str">
        <x:v>No shoulder, neck, elbow, wrist, hip or lower-back pain reported during or after session</x:v>
      </x:c>
      <x:c r="J332" s="170" t="str">
        <x:v>Medium final</x:v>
      </x:c>
      <x:c r="K332" s="170" t="str">
        <x:v>Good</x:v>
      </x:c>
      <x:c r="L332" s="170" t="str">
        <x:v>New 5 kg/side baseline; machine resistance To verify</x:v>
      </x:c>
      <x:c r="M332" s="170" t="str">
        <x:v>Working</x:v>
      </x:c>
      <x:c r="N332" s="170" t="n">
        <x:v>2</x:v>
      </x:c>
    </x:row>
    <x:row r="333">
      <x:c r="A333" s="220" t="n">
        <x:v>46255</x:v>
      </x:c>
      <x:c r="B333" s="170" t="str">
        <x:v>Shoulders</x:v>
      </x:c>
      <x:c r="C333" s="170" t="str">
        <x:v>Experimental Rear-Delt Lateral-Raise Machine</x:v>
      </x:c>
      <x:c r="D333" s="170" t="n">
        <x:v>1</x:v>
      </x:c>
      <x:c r="E333" s="170" t="n">
        <x:v>5</x:v>
      </x:c>
      <x:c r="F333" s="170" t="str">
        <x:v>kg plates each side</x:v>
      </x:c>
      <x:c r="G333" s="170" t="n">
        <x:v>8</x:v>
      </x:c>
      <x:c r="H333" s="170" t="str">
        <x:v>Experimental rear-delt movement performed facing away from machine; exact setup/path To verify</x:v>
      </x:c>
      <x:c r="I333" s="170" t="str">
        <x:v>No shoulder, neck, elbow, wrist, hip or lower-back pain reported during or after session</x:v>
      </x:c>
      <x:c r="J333" s="170" t="str">
        <x:v>Medium final</x:v>
      </x:c>
      <x:c r="K333" s="170" t="str">
        <x:v>Good</x:v>
      </x:c>
      <x:c r="L333" s="170" t="str">
        <x:v>Counts toward fatigue; exclude from next active sequence</x:v>
      </x:c>
      <x:c r="M333" s="170" t="str">
        <x:v>Working</x:v>
      </x:c>
      <x:c r="N333" s="170" t="n">
        <x:v>1</x:v>
      </x:c>
    </x:row>
    <x:row r="334">
      <x:c r="A334" s="220" t="n">
        <x:v>46255</x:v>
      </x:c>
      <x:c r="B334" s="170" t="str">
        <x:v>Shoulders</x:v>
      </x:c>
      <x:c r="C334" s="170" t="str">
        <x:v>Experimental Rear-Delt Lateral-Raise Machine</x:v>
      </x:c>
      <x:c r="D334" s="170" t="n">
        <x:v>2</x:v>
      </x:c>
      <x:c r="E334" s="170" t="n">
        <x:v>5</x:v>
      </x:c>
      <x:c r="F334" s="170" t="str">
        <x:v>kg plates each side</x:v>
      </x:c>
      <x:c r="G334" s="170" t="n">
        <x:v>8</x:v>
      </x:c>
      <x:c r="H334" s="170" t="str">
        <x:v>Experimental rear-delt movement performed facing away from machine; exact setup/path To verify</x:v>
      </x:c>
      <x:c r="I334" s="170" t="str">
        <x:v>No shoulder, neck, elbow, wrist, hip or lower-back pain reported during or after session</x:v>
      </x:c>
      <x:c r="J334" s="170" t="str">
        <x:v>Medium final</x:v>
      </x:c>
      <x:c r="K334" s="170" t="str">
        <x:v>Good</x:v>
      </x:c>
      <x:c r="L334" s="170" t="str">
        <x:v>Counts toward fatigue; exclude from next active sequence</x:v>
      </x:c>
      <x:c r="M334" s="170" t="str">
        <x:v>Working</x:v>
      </x:c>
      <x:c r="N334" s="170" t="n">
        <x:v>1</x:v>
      </x:c>
    </x:row>
    <x:row r="335">
      <x:c r="A335" s="220" t="n">
        <x:v>46255</x:v>
      </x:c>
      <x:c r="B335" s="170" t="str">
        <x:v>Shoulders</x:v>
      </x:c>
      <x:c r="C335" s="170" t="str">
        <x:v>Reverse Pec Deck</x:v>
      </x:c>
      <x:c r="D335" s="170" t="n">
        <x:v>1</x:v>
      </x:c>
      <x:c r="E335" s="170" t="n">
        <x:v>25</x:v>
      </x:c>
      <x:c r="F335" s="170" t="str">
        <x:v>kg total machine load</x:v>
      </x:c>
      <x:c r="G335" s="170" t="n">
        <x:v>16</x:v>
      </x:c>
      <x:c r="H335" s="170" t="str">
        <x:v>Controlled; no assistance</x:v>
      </x:c>
      <x:c r="I335" s="170" t="str">
        <x:v>No shoulder, neck, elbow, wrist, hip or lower-back pain reported during or after session</x:v>
      </x:c>
      <x:c r="J335" s="170" t="str">
        <x:v>Medium final</x:v>
      </x:c>
      <x:c r="K335" s="170" t="str">
        <x:v>Good</x:v>
      </x:c>
      <x:c r="L335" s="170" t="str">
        <x:v>Reserve improved</x:v>
      </x:c>
      <x:c r="M335" s="170" t="str">
        <x:v>Working</x:v>
      </x:c>
      <x:c r="N335" s="170" t="n">
        <x:v>3</x:v>
      </x:c>
    </x:row>
    <x:row r="336">
      <x:c r="A336" s="220" t="n">
        <x:v>46255</x:v>
      </x:c>
      <x:c r="B336" s="170" t="str">
        <x:v>Shoulders</x:v>
      </x:c>
      <x:c r="C336" s="170" t="str">
        <x:v>Reverse Pec Deck</x:v>
      </x:c>
      <x:c r="D336" s="170" t="n">
        <x:v>2</x:v>
      </x:c>
      <x:c r="E336" s="170" t="n">
        <x:v>30</x:v>
      </x:c>
      <x:c r="F336" s="170" t="str">
        <x:v>kg total machine load</x:v>
      </x:c>
      <x:c r="G336" s="170" t="n">
        <x:v>13</x:v>
      </x:c>
      <x:c r="H336" s="170" t="str">
        <x:v>Controlled; no assistance</x:v>
      </x:c>
      <x:c r="I336" s="170" t="str">
        <x:v>No shoulder, neck, elbow, wrist, hip or lower-back pain reported during or after session</x:v>
      </x:c>
      <x:c r="J336" s="170" t="str">
        <x:v>Medium final</x:v>
      </x:c>
      <x:c r="K336" s="170" t="str">
        <x:v>Good</x:v>
      </x:c>
      <x:c r="L336" s="170" t="str">
        <x:v>Added one rep with better reserve</x:v>
      </x:c>
      <x:c r="M336" s="170" t="str">
        <x:v>Working</x:v>
      </x:c>
      <x:c r="N336" s="170" t="n">
        <x:v>3</x:v>
      </x:c>
    </x:row>
    <x:row r="337">
      <x:c r="A337" s="220" t="n">
        <x:v>46255</x:v>
      </x:c>
      <x:c r="B337" s="170" t="str">
        <x:v>Shoulders</x:v>
      </x:c>
      <x:c r="C337" s="170" t="str">
        <x:v>Reverse Pec Deck</x:v>
      </x:c>
      <x:c r="D337" s="170" t="n">
        <x:v>3</x:v>
      </x:c>
      <x:c r="E337" s="170" t="n">
        <x:v>35</x:v>
      </x:c>
      <x:c r="F337" s="170" t="str">
        <x:v>kg total machine load</x:v>
      </x:c>
      <x:c r="G337" s="170" t="n">
        <x:v>10</x:v>
      </x:c>
      <x:c r="H337" s="170" t="str">
        <x:v>Controlled; no assistance</x:v>
      </x:c>
      <x:c r="I337" s="170" t="str">
        <x:v>No shoulder, neck, elbow, wrist, hip or lower-back pain reported during or after session</x:v>
      </x:c>
      <x:c r="J337" s="170" t="str">
        <x:v>Medium final</x:v>
      </x:c>
      <x:c r="K337" s="170" t="str">
        <x:v>Good</x:v>
      </x:c>
      <x:c r="L337" s="170" t="str">
        <x:v>Matched reps with substantially better reserve</x:v>
      </x:c>
      <x:c r="M337" s="170" t="str">
        <x:v>Working</x:v>
      </x:c>
      <x:c r="N337" s="170" t="n">
        <x:v>3</x:v>
      </x:c>
    </x:row>
    <x:row r="338">
      <x:c r="A338" s="220" t="n">
        <x:v>46255</x:v>
      </x:c>
      <x:c r="B338" s="170" t="str">
        <x:v>Shoulders</x:v>
      </x:c>
      <x:c r="C338" s="170" t="str">
        <x:v>Cable Upright Row</x:v>
      </x:c>
      <x:c r="D338" s="170" t="n">
        <x:v>1</x:v>
      </x:c>
      <x:c r="E338" s="170" t="n">
        <x:v>40</x:v>
      </x:c>
      <x:c r="F338" s="170" t="str">
        <x:v>kg total stack</x:v>
      </x:c>
      <x:c r="G338" s="170" t="n">
        <x:v>16</x:v>
      </x:c>
      <x:c r="H338" s="170" t="str">
        <x:v>Controlled; comfortable height</x:v>
      </x:c>
      <x:c r="I338" s="170" t="str">
        <x:v>No shoulder, neck, elbow, wrist, hip or lower-back pain reported during or after session</x:v>
      </x:c>
      <x:c r="J338" s="170" t="str">
        <x:v>Medium final</x:v>
      </x:c>
      <x:c r="K338" s="170" t="str">
        <x:v>Good</x:v>
      </x:c>
      <x:c r="L338" s="170" t="str">
        <x:v>Clear rep/reserve progression</x:v>
      </x:c>
      <x:c r="M338" s="170" t="str">
        <x:v>Working</x:v>
      </x:c>
      <x:c r="N338" s="170" t="n">
        <x:v>3</x:v>
      </x:c>
    </x:row>
    <x:row r="339">
      <x:c r="A339" s="220" t="n">
        <x:v>46255</x:v>
      </x:c>
      <x:c r="B339" s="170" t="str">
        <x:v>Shoulders</x:v>
      </x:c>
      <x:c r="C339" s="170" t="str">
        <x:v>Cable Upright Row</x:v>
      </x:c>
      <x:c r="D339" s="170" t="n">
        <x:v>2</x:v>
      </x:c>
      <x:c r="E339" s="170" t="n">
        <x:v>50</x:v>
      </x:c>
      <x:c r="F339" s="170" t="str">
        <x:v>kg total stack</x:v>
      </x:c>
      <x:c r="G339" s="170" t="n">
        <x:v>12</x:v>
      </x:c>
      <x:c r="H339" s="170" t="str">
        <x:v>Controlled; comfortable height</x:v>
      </x:c>
      <x:c r="I339" s="170" t="str">
        <x:v>No shoulder, neck, elbow, wrist, hip or lower-back pain reported during or after session</x:v>
      </x:c>
      <x:c r="J339" s="170" t="str">
        <x:v>Medium final</x:v>
      </x:c>
      <x:c r="K339" s="170" t="str">
        <x:v>Good</x:v>
      </x:c>
      <x:c r="L339" s="170"/>
      <x:c r="M339" s="170" t="str">
        <x:v>Working</x:v>
      </x:c>
      <x:c r="N339" s="170" t="n">
        <x:v>2</x:v>
      </x:c>
    </x:row>
    <x:row r="340">
      <x:c r="A340" s="220" t="n">
        <x:v>46255</x:v>
      </x:c>
      <x:c r="B340" s="170" t="str">
        <x:v>Shoulders</x:v>
      </x:c>
      <x:c r="C340" s="170" t="str">
        <x:v>Cable Upright Row</x:v>
      </x:c>
      <x:c r="D340" s="170" t="n">
        <x:v>3</x:v>
      </x:c>
      <x:c r="E340" s="170" t="n">
        <x:v>50</x:v>
      </x:c>
      <x:c r="F340" s="170" t="str">
        <x:v>kg total stack</x:v>
      </x:c>
      <x:c r="G340" s="170" t="n">
        <x:v>10</x:v>
      </x:c>
      <x:c r="H340" s="170" t="str">
        <x:v>Controlled; comfortable height</x:v>
      </x:c>
      <x:c r="I340" s="170" t="str">
        <x:v>No shoulder, neck, elbow, wrist, hip or lower-back pain reported during or after session</x:v>
      </x:c>
      <x:c r="J340" s="170" t="str">
        <x:v>Medium final</x:v>
      </x:c>
      <x:c r="K340" s="170" t="str">
        <x:v>Good</x:v>
      </x:c>
      <x:c r="L340" s="170" t="str">
        <x:v>Keep load and improve final-set reserve</x:v>
      </x:c>
      <x:c r="M340" s="170" t="str">
        <x:v>Working</x:v>
      </x:c>
      <x:c r="N340" s="170" t="n">
        <x:v>1</x:v>
      </x:c>
    </x:row>
    <x:row r="341">
      <x:c r="A341" s="220" t="n">
        <x:v>46255</x:v>
      </x:c>
      <x:c r="B341" s="170" t="str">
        <x:v>Shoulders</x:v>
      </x:c>
      <x:c r="C341" s="170" t="str">
        <x:v>Single-Arm Cable Lateral Raise</x:v>
      </x:c>
      <x:c r="D341" s="170" t="n">
        <x:v>1</x:v>
      </x:c>
      <x:c r="E341" s="170" t="n">
        <x:v>5</x:v>
      </x:c>
      <x:c r="F341" s="170" t="str">
        <x:v>kg stack; reps each arm</x:v>
      </x:c>
      <x:c r="G341" s="170" t="n">
        <x:v>20</x:v>
      </x:c>
      <x:c r="H341" s="170" t="str">
        <x:v>Controlled; both arms completed</x:v>
      </x:c>
      <x:c r="I341" s="170" t="str">
        <x:v>No shoulder, neck, elbow, wrist, hip or lower-back pain reported during or after session</x:v>
      </x:c>
      <x:c r="J341" s="170" t="str">
        <x:v>Medium final</x:v>
      </x:c>
      <x:c r="K341" s="170" t="str">
        <x:v>Good</x:v>
      </x:c>
      <x:c r="L341" s="170" t="str">
        <x:v>Progressed from 15 reps</x:v>
      </x:c>
      <x:c r="M341" s="170" t="str">
        <x:v>Working</x:v>
      </x:c>
      <x:c r="N341" s="170" t="n">
        <x:v>3</x:v>
      </x:c>
    </x:row>
    <x:row r="342">
      <x:c r="A342" s="220" t="n">
        <x:v>46255</x:v>
      </x:c>
      <x:c r="B342" s="170" t="str">
        <x:v>Shoulders</x:v>
      </x:c>
      <x:c r="C342" s="170" t="str">
        <x:v>Single-Arm Cable Lateral Raise</x:v>
      </x:c>
      <x:c r="D342" s="170" t="n">
        <x:v>2</x:v>
      </x:c>
      <x:c r="E342" s="170" t="n">
        <x:v>10</x:v>
      </x:c>
      <x:c r="F342" s="170" t="str">
        <x:v>kg stack; reps each arm</x:v>
      </x:c>
      <x:c r="G342" s="170" t="n">
        <x:v>15</x:v>
      </x:c>
      <x:c r="H342" s="170" t="str">
        <x:v>Controlled; both arms completed</x:v>
      </x:c>
      <x:c r="I342" s="170" t="str">
        <x:v>No shoulder, neck, elbow, wrist, hip or lower-back pain reported during or after session</x:v>
      </x:c>
      <x:c r="J342" s="170" t="str">
        <x:v>Medium final</x:v>
      </x:c>
      <x:c r="K342" s="170" t="str">
        <x:v>Good</x:v>
      </x:c>
      <x:c r="L342" s="170" t="str">
        <x:v>Progressed from 12 reps</x:v>
      </x:c>
      <x:c r="M342" s="170" t="str">
        <x:v>Working</x:v>
      </x:c>
      <x:c r="N342" s="170" t="n">
        <x:v>2</x:v>
      </x:c>
    </x:row>
    <x:row r="343">
      <x:c r="A343" s="220" t="n">
        <x:v>46255</x:v>
      </x:c>
      <x:c r="B343" s="170" t="str">
        <x:v>Shoulders</x:v>
      </x:c>
      <x:c r="C343" s="170" t="str">
        <x:v>Single-Arm Cable Lateral Raise</x:v>
      </x:c>
      <x:c r="D343" s="170" t="n">
        <x:v>3</x:v>
      </x:c>
      <x:c r="E343" s="170" t="n">
        <x:v>10</x:v>
      </x:c>
      <x:c r="F343" s="170" t="str">
        <x:v>kg stack; reps each arm</x:v>
      </x:c>
      <x:c r="G343" s="170" t="n">
        <x:v>15</x:v>
      </x:c>
      <x:c r="H343" s="170" t="str">
        <x:v>Controlled; both arms completed</x:v>
      </x:c>
      <x:c r="I343" s="170" t="str">
        <x:v>No shoulder, neck, elbow, wrist, hip or lower-back pain reported during or after session</x:v>
      </x:c>
      <x:c r="J343" s="170" t="str">
        <x:v>Medium final</x:v>
      </x:c>
      <x:c r="K343" s="170" t="str">
        <x:v>Good</x:v>
      </x:c>
      <x:c r="L343" s="170" t="str">
        <x:v>Progressed from 12 reps</x:v>
      </x:c>
      <x:c r="M343" s="170" t="str">
        <x:v>Working</x:v>
      </x:c>
      <x:c r="N343" s="170" t="n">
        <x:v>2</x:v>
      </x:c>
    </x:row>
    <x:row r="344">
      <x:c r="A344" s="220" t="n">
        <x:v>46255</x:v>
      </x:c>
      <x:c r="B344" s="170" t="str">
        <x:v>Shoulders</x:v>
      </x:c>
      <x:c r="C344" s="170" t="str">
        <x:v>Cable Shrug</x:v>
      </x:c>
      <x:c r="D344" s="170" t="n">
        <x:v>1</x:v>
      </x:c>
      <x:c r="E344" s="170" t="n">
        <x:v>60</x:v>
      </x:c>
      <x:c r="F344" s="170" t="str">
        <x:v>kg total stack; straight bar on low pulley</x:v>
      </x:c>
      <x:c r="G344" s="170" t="n">
        <x:v>17</x:v>
      </x:c>
      <x:c r="H344" s="170" t="str">
        <x:v>Elbows tended to bend but were consciously controlled; low trap sensation</x:v>
      </x:c>
      <x:c r="I344" s="170" t="str">
        <x:v>No shoulder, neck, elbow, wrist, hip or lower-back pain reported during or after session</x:v>
      </x:c>
      <x:c r="J344" s="170" t="str">
        <x:v>Medium final</x:v>
      </x:c>
      <x:c r="K344" s="170" t="str">
        <x:v>Good</x:v>
      </x:c>
      <x:c r="L344" s="170" t="str">
        <x:v>Experimental substitution; poor stimulus; effective cable resistance To verify</x:v>
      </x:c>
      <x:c r="M344" s="170" t="str">
        <x:v>Working</x:v>
      </x:c>
      <x:c r="N344" s="170" t="n">
        <x:v>2</x:v>
      </x:c>
    </x:row>
    <x:row r="345">
      <x:c r="A345" s="220" t="n">
        <x:v>46255</x:v>
      </x:c>
      <x:c r="B345" s="170" t="str">
        <x:v>Shoulders</x:v>
      </x:c>
      <x:c r="C345" s="170" t="str">
        <x:v>Cable Shrug</x:v>
      </x:c>
      <x:c r="D345" s="170" t="n">
        <x:v>2</x:v>
      </x:c>
      <x:c r="E345" s="170" t="n">
        <x:v>70</x:v>
      </x:c>
      <x:c r="F345" s="170" t="str">
        <x:v>kg total stack; straight bar on low pulley</x:v>
      </x:c>
      <x:c r="G345" s="170" t="n">
        <x:v>15</x:v>
      </x:c>
      <x:c r="H345" s="170" t="str">
        <x:v>Elbows tended to bend but were consciously controlled; low trap sensation</x:v>
      </x:c>
      <x:c r="I345" s="170" t="str">
        <x:v>No shoulder, neck, elbow, wrist, hip or lower-back pain reported during or after session</x:v>
      </x:c>
      <x:c r="J345" s="170" t="str">
        <x:v>Medium final</x:v>
      </x:c>
      <x:c r="K345" s="170" t="str">
        <x:v>Good</x:v>
      </x:c>
      <x:c r="L345" s="170" t="str">
        <x:v>Experimental substitution; poor stimulus; effective cable resistance To verify</x:v>
      </x:c>
      <x:c r="M345" s="170" t="str">
        <x:v>Working</x:v>
      </x:c>
      <x:c r="N345" s="170" t="n">
        <x:v>2</x:v>
      </x:c>
    </x:row>
    <x:row r="346">
      <x:c r="A346" s="220" t="n">
        <x:v>46255</x:v>
      </x:c>
      <x:c r="B346" s="170" t="str">
        <x:v>Shoulders</x:v>
      </x:c>
      <x:c r="C346" s="170" t="str">
        <x:v>Cable Shrug</x:v>
      </x:c>
      <x:c r="D346" s="170" t="n">
        <x:v>3</x:v>
      </x:c>
      <x:c r="E346" s="170" t="n">
        <x:v>80</x:v>
      </x:c>
      <x:c r="F346" s="170" t="str">
        <x:v>kg total stack; straight bar on low pulley</x:v>
      </x:c>
      <x:c r="G346" s="170" t="n">
        <x:v>13</x:v>
      </x:c>
      <x:c r="H346" s="170" t="str">
        <x:v>Elbows tended to bend but were consciously controlled; low trap sensation</x:v>
      </x:c>
      <x:c r="I346" s="170" t="str">
        <x:v>No shoulder, neck, elbow, wrist, hip or lower-back pain reported during or after session</x:v>
      </x:c>
      <x:c r="J346" s="170" t="str">
        <x:v>Medium final</x:v>
      </x:c>
      <x:c r="K346" s="170" t="str">
        <x:v>Good</x:v>
      </x:c>
      <x:c r="L346" s="170" t="str">
        <x:v>Replace with dumbbell or dedicated shrug next time</x:v>
      </x:c>
      <x:c r="M346" s="170" t="str">
        <x:v>Working</x:v>
      </x:c>
      <x:c r="N346" s="170" t="n">
        <x:v>2</x:v>
      </x:c>
    </x:row>
    <x:row r="347">
      <x:c r="A347" s="220" t="n">
        <x:v>46255</x:v>
      </x:c>
      <x:c r="B347" s="170" t="str">
        <x:v>Shoulders</x:v>
      </x:c>
      <x:c r="C347" s="170" t="str">
        <x:v>Front Plank</x:v>
      </x:c>
      <x:c r="D347" s="170" t="n">
        <x:v>1</x:v>
      </x:c>
      <x:c r="E347" s="170" t="str">
        <x:v>Body weight</x:v>
      </x:c>
      <x:c r="F347" s="170" t="str">
        <x:v>60 seconds</x:v>
      </x:c>
      <x:c r="G347" s="170" t="n">
        <x:v>60</x:v>
      </x:c>
      <x:c r="H347" s="170" t="str">
        <x:v>No form breakdown or lower-back pain reported; detailed alignment To verify</x:v>
      </x:c>
      <x:c r="I347" s="170" t="str">
        <x:v>No shoulder, neck, elbow, wrist, hip or lower-back pain reported during or after session</x:v>
      </x:c>
      <x:c r="J347" s="170" t="str">
        <x:v>Medium final</x:v>
      </x:c>
      <x:c r="K347" s="170" t="str">
        <x:v>Good</x:v>
      </x:c>
      <x:c r="L347" s="170" t="str">
        <x:v>Core finisher</x:v>
      </x:c>
      <x:c r="M347" s="170" t="str">
        <x:v>Core finisher</x:v>
      </x:c>
      <x:c r="N347" s="170" t="str">
        <x:v>To verify</x:v>
      </x:c>
    </x:row>
    <x:row r="348">
      <x:c r="A348" s="220" t="n">
        <x:v>46255</x:v>
      </x:c>
      <x:c r="B348" s="170" t="str">
        <x:v>Shoulders</x:v>
      </x:c>
      <x:c r="C348" s="170" t="str">
        <x:v>Front Plank</x:v>
      </x:c>
      <x:c r="D348" s="170" t="n">
        <x:v>2</x:v>
      </x:c>
      <x:c r="E348" s="170" t="str">
        <x:v>Body weight</x:v>
      </x:c>
      <x:c r="F348" s="170" t="str">
        <x:v>60 seconds</x:v>
      </x:c>
      <x:c r="G348" s="170" t="n">
        <x:v>60</x:v>
      </x:c>
      <x:c r="H348" s="170" t="str">
        <x:v>No form breakdown or lower-back pain reported; detailed alignment To verify</x:v>
      </x:c>
      <x:c r="I348" s="170" t="str">
        <x:v>No shoulder, neck, elbow, wrist, hip or lower-back pain reported during or after session</x:v>
      </x:c>
      <x:c r="J348" s="170" t="str">
        <x:v>Medium final</x:v>
      </x:c>
      <x:c r="K348" s="170" t="str">
        <x:v>Good</x:v>
      </x:c>
      <x:c r="L348" s="170" t="str">
        <x:v>Core finisher</x:v>
      </x:c>
      <x:c r="M348" s="170" t="str">
        <x:v>Core finisher</x:v>
      </x:c>
      <x:c r="N348" s="170" t="str">
        <x:v>To verify</x:v>
      </x:c>
    </x:row>
    <x:row r="349">
      <x:c r="A349" s="220" t="n">
        <x:v>46255</x:v>
      </x:c>
      <x:c r="B349" s="170" t="str">
        <x:v>Shoulders</x:v>
      </x:c>
      <x:c r="C349" s="170" t="str">
        <x:v>Front Plank</x:v>
      </x:c>
      <x:c r="D349" s="170" t="n">
        <x:v>3</x:v>
      </x:c>
      <x:c r="E349" s="170" t="str">
        <x:v>Body weight</x:v>
      </x:c>
      <x:c r="F349" s="170" t="str">
        <x:v>60 seconds</x:v>
      </x:c>
      <x:c r="G349" s="170" t="n">
        <x:v>60</x:v>
      </x:c>
      <x:c r="H349" s="170" t="str">
        <x:v>No form breakdown or lower-back pain reported; detailed alignment To verify</x:v>
      </x:c>
      <x:c r="I349" s="170" t="str">
        <x:v>No shoulder, neck, elbow, wrist, hip or lower-back pain reported during or after session</x:v>
      </x:c>
      <x:c r="J349" s="170" t="str">
        <x:v>Medium final</x:v>
      </x:c>
      <x:c r="K349" s="170" t="str">
        <x:v>Good</x:v>
      </x:c>
      <x:c r="L349" s="170" t="str">
        <x:v>Core finisher</x:v>
      </x:c>
      <x:c r="M349" s="170" t="str">
        <x:v>Core finisher</x:v>
      </x:c>
      <x:c r="N349" s="170" t="str">
        <x:v>To verify</x:v>
      </x:c>
    </x:row>
    <x:row r="350">
      <x:c r="A350" s="220" t="n">
        <x:v>46255</x:v>
      </x:c>
      <x:c r="B350" s="170" t="str">
        <x:v>Shoulders</x:v>
      </x:c>
      <x:c r="C350" s="170" t="str">
        <x:v>Treadmill Incline Walk</x:v>
      </x:c>
      <x:c r="D350" s="170" t="n">
        <x:v>1</x:v>
      </x:c>
      <x:c r="E350" s="170" t="n">
        <x:v>12</x:v>
      </x:c>
      <x:c r="F350" s="170" t="str">
        <x:v>% incline; displayed speed 4 (unit To verify)</x:v>
      </x:c>
      <x:c r="G350" s="170" t="n">
        <x:v>10</x:v>
      </x:c>
      <x:c r="H350" s="170" t="str">
        <x:v>Completed 10 minutes; no hip or other pain</x:v>
      </x:c>
      <x:c r="I350" s="170" t="str">
        <x:v>No shoulder, neck, elbow, wrist, hip or lower-back pain reported during or after session</x:v>
      </x:c>
      <x:c r="J350" s="170" t="str">
        <x:v>Medium final</x:v>
      </x:c>
      <x:c r="K350" s="170" t="str">
        <x:v>Good</x:v>
      </x:c>
      <x:c r="L350" s="170" t="str">
        <x:v>Steep conditioning finisher after Legs; use easier incline for recovery cardio</x:v>
      </x:c>
      <x:c r="M350" s="170" t="str">
        <x:v>Cardio finisher</x:v>
      </x:c>
      <x:c r="N350" s="170" t="str">
        <x:v>Not applicable</x:v>
      </x:c>
    </x:row>
    <x:row r="351">
      <x:c r="A351" s="220" t="n">
        <x:v>46256</x:v>
      </x:c>
      <x:c r="B351" s="170" t="str">
        <x:v>Triceps</x:v>
      </x:c>
      <x:c r="C351" s="170" t="str">
        <x:v>Straight-Bar Pushdown</x:v>
      </x:c>
      <x:c r="D351" s="170" t="n">
        <x:v>1</x:v>
      </x:c>
      <x:c r="E351" s="170" t="n">
        <x:v>45</x:v>
      </x:c>
      <x:c r="F351" s="170" t="str">
        <x:v>kg total stack</x:v>
      </x:c>
      <x:c r="G351" s="170" t="n">
        <x:v>16</x:v>
      </x:c>
      <x:c r="H351" s="170" t="str">
        <x:v>Preparation set; controlled; no assistance</x:v>
      </x:c>
      <x:c r="I351" s="170" t="str">
        <x:v>Very little shoulder soreness, unchanged from pre-workout; no shoulder, elbow or wrist pain</x:v>
      </x:c>
      <x:c r="J351" s="170" t="str">
        <x:v>Low final</x:v>
      </x:c>
      <x:c r="K351" s="170" t="str">
        <x:v>Good</x:v>
      </x:c>
      <x:c r="L351" s="170" t="str">
        <x:v>Excluded from working-set total</x:v>
      </x:c>
      <x:c r="M351" s="170" t="str">
        <x:v>Warm-up</x:v>
      </x:c>
      <x:c r="N351" s="170" t="n">
        <x:v>3</x:v>
      </x:c>
    </x:row>
    <x:row r="352">
      <x:c r="A352" s="220" t="n">
        <x:v>46256</x:v>
      </x:c>
      <x:c r="B352" s="170" t="str">
        <x:v>Triceps</x:v>
      </x:c>
      <x:c r="C352" s="170" t="str">
        <x:v>Straight-Bar Pushdown</x:v>
      </x:c>
      <x:c r="D352" s="170" t="n">
        <x:v>2</x:v>
      </x:c>
      <x:c r="E352" s="170" t="n">
        <x:v>50</x:v>
      </x:c>
      <x:c r="F352" s="170" t="str">
        <x:v>kg total stack</x:v>
      </x:c>
      <x:c r="G352" s="170" t="n">
        <x:v>13</x:v>
      </x:c>
      <x:c r="H352" s="170" t="str">
        <x:v>Elbows fixed; no forced reps</x:v>
      </x:c>
      <x:c r="I352" s="170" t="str">
        <x:v>Very little shoulder soreness, unchanged from pre-workout; no shoulder, elbow or wrist pain</x:v>
      </x:c>
      <x:c r="J352" s="170" t="str">
        <x:v>Low final</x:v>
      </x:c>
      <x:c r="K352" s="170" t="str">
        <x:v>Good</x:v>
      </x:c>
      <x:c r="L352" s="170"/>
      <x:c r="M352" s="170" t="str">
        <x:v>Working</x:v>
      </x:c>
      <x:c r="N352" s="170" t="n">
        <x:v>2</x:v>
      </x:c>
    </x:row>
    <x:row r="353">
      <x:c r="A353" s="220" t="n">
        <x:v>46256</x:v>
      </x:c>
      <x:c r="B353" s="170" t="str">
        <x:v>Triceps</x:v>
      </x:c>
      <x:c r="C353" s="170" t="str">
        <x:v>Straight-Bar Pushdown</x:v>
      </x:c>
      <x:c r="D353" s="170" t="n">
        <x:v>3</x:v>
      </x:c>
      <x:c r="E353" s="170" t="n">
        <x:v>55</x:v>
      </x:c>
      <x:c r="F353" s="170" t="str">
        <x:v>kg total stack</x:v>
      </x:c>
      <x:c r="G353" s="170" t="n">
        <x:v>11</x:v>
      </x:c>
      <x:c r="H353" s="170" t="str">
        <x:v>Elbows fixed; no forced reps</x:v>
      </x:c>
      <x:c r="I353" s="170" t="str">
        <x:v>Very little shoulder soreness, unchanged from pre-workout; no shoulder, elbow or wrist pain</x:v>
      </x:c>
      <x:c r="J353" s="170" t="str">
        <x:v>Low final</x:v>
      </x:c>
      <x:c r="K353" s="170" t="str">
        <x:v>Good</x:v>
      </x:c>
      <x:c r="L353" s="170" t="str">
        <x:v>Added one rep from prior baseline</x:v>
      </x:c>
      <x:c r="M353" s="170" t="str">
        <x:v>Working</x:v>
      </x:c>
      <x:c r="N353" s="170" t="n">
        <x:v>2</x:v>
      </x:c>
    </x:row>
    <x:row r="354">
      <x:c r="A354" s="220" t="n">
        <x:v>46256</x:v>
      </x:c>
      <x:c r="B354" s="170" t="str">
        <x:v>Triceps</x:v>
      </x:c>
      <x:c r="C354" s="170" t="str">
        <x:v>Straight-Bar Pushdown</x:v>
      </x:c>
      <x:c r="D354" s="170" t="n">
        <x:v>4</x:v>
      </x:c>
      <x:c r="E354" s="170" t="n">
        <x:v>60</x:v>
      </x:c>
      <x:c r="F354" s="170" t="str">
        <x:v>kg total stack</x:v>
      </x:c>
      <x:c r="G354" s="170" t="n">
        <x:v>9</x:v>
      </x:c>
      <x:c r="H354" s="170" t="str">
        <x:v>Elbows fixed; no forced reps</x:v>
      </x:c>
      <x:c r="I354" s="170" t="str">
        <x:v>Very little shoulder soreness, unchanged from pre-workout; no shoulder, elbow or wrist pain</x:v>
      </x:c>
      <x:c r="J354" s="170" t="str">
        <x:v>Low final</x:v>
      </x:c>
      <x:c r="K354" s="170" t="str">
        <x:v>Good</x:v>
      </x:c>
      <x:c r="L354" s="170" t="str">
        <x:v>Reached rep target; improve reserve before load</x:v>
      </x:c>
      <x:c r="M354" s="170" t="str">
        <x:v>Working</x:v>
      </x:c>
      <x:c r="N354" s="170" t="n">
        <x:v>1</x:v>
      </x:c>
    </x:row>
    <x:row r="355">
      <x:c r="A355" s="220" t="n">
        <x:v>46256</x:v>
      </x:c>
      <x:c r="B355" s="170" t="str">
        <x:v>Triceps</x:v>
      </x:c>
      <x:c r="C355" s="170" t="str">
        <x:v>Rope Pushdown</x:v>
      </x:c>
      <x:c r="D355" s="170" t="n">
        <x:v>1</x:v>
      </x:c>
      <x:c r="E355" s="170" t="n">
        <x:v>30</x:v>
      </x:c>
      <x:c r="F355" s="170" t="str">
        <x:v>kg total stack</x:v>
      </x:c>
      <x:c r="G355" s="170" t="n">
        <x:v>15</x:v>
      </x:c>
      <x:c r="H355" s="170" t="str">
        <x:v>Controlled; rope spread; no forced reps</x:v>
      </x:c>
      <x:c r="I355" s="170" t="str">
        <x:v>Very little shoulder soreness, unchanged from pre-workout; no shoulder, elbow or wrist pain</x:v>
      </x:c>
      <x:c r="J355" s="170" t="str">
        <x:v>Low final</x:v>
      </x:c>
      <x:c r="K355" s="170" t="str">
        <x:v>Good</x:v>
      </x:c>
      <x:c r="L355" s="170"/>
      <x:c r="M355" s="170" t="str">
        <x:v>Working</x:v>
      </x:c>
      <x:c r="N355" s="170" t="n">
        <x:v>3</x:v>
      </x:c>
    </x:row>
    <x:row r="356">
      <x:c r="A356" s="220" t="n">
        <x:v>46256</x:v>
      </x:c>
      <x:c r="B356" s="170" t="str">
        <x:v>Triceps</x:v>
      </x:c>
      <x:c r="C356" s="170" t="str">
        <x:v>Rope Pushdown</x:v>
      </x:c>
      <x:c r="D356" s="170" t="n">
        <x:v>2</x:v>
      </x:c>
      <x:c r="E356" s="170" t="n">
        <x:v>35</x:v>
      </x:c>
      <x:c r="F356" s="170" t="str">
        <x:v>kg total stack</x:v>
      </x:c>
      <x:c r="G356" s="170" t="n">
        <x:v>12</x:v>
      </x:c>
      <x:c r="H356" s="170" t="str">
        <x:v>Controlled; rope spread; no forced reps</x:v>
      </x:c>
      <x:c r="I356" s="170" t="str">
        <x:v>Very little shoulder soreness, unchanged from pre-workout; no shoulder, elbow or wrist pain</x:v>
      </x:c>
      <x:c r="J356" s="170" t="str">
        <x:v>Low final</x:v>
      </x:c>
      <x:c r="K356" s="170" t="str">
        <x:v>Good</x:v>
      </x:c>
      <x:c r="L356" s="170"/>
      <x:c r="M356" s="170" t="str">
        <x:v>Working</x:v>
      </x:c>
      <x:c r="N356" s="170" t="n">
        <x:v>3</x:v>
      </x:c>
    </x:row>
    <x:row r="357">
      <x:c r="A357" s="220" t="n">
        <x:v>46256</x:v>
      </x:c>
      <x:c r="B357" s="170" t="str">
        <x:v>Triceps</x:v>
      </x:c>
      <x:c r="C357" s="170" t="str">
        <x:v>Rope Pushdown</x:v>
      </x:c>
      <x:c r="D357" s="170" t="n">
        <x:v>3</x:v>
      </x:c>
      <x:c r="E357" s="170" t="n">
        <x:v>40</x:v>
      </x:c>
      <x:c r="F357" s="170" t="str">
        <x:v>kg total stack</x:v>
      </x:c>
      <x:c r="G357" s="170" t="n">
        <x:v>10</x:v>
      </x:c>
      <x:c r="H357" s="170" t="str">
        <x:v>Controlled; rope spread; no forced reps</x:v>
      </x:c>
      <x:c r="I357" s="170" t="str">
        <x:v>Very little shoulder soreness, unchanged from pre-workout; no shoulder, elbow or wrist pain</x:v>
      </x:c>
      <x:c r="J357" s="170" t="str">
        <x:v>Low final</x:v>
      </x:c>
      <x:c r="K357" s="170" t="str">
        <x:v>Good</x:v>
      </x:c>
      <x:c r="L357" s="170"/>
      <x:c r="M357" s="170" t="str">
        <x:v>Working</x:v>
      </x:c>
      <x:c r="N357" s="170" t="n">
        <x:v>2</x:v>
      </x:c>
    </x:row>
    <x:row r="358">
      <x:c r="A358" s="220" t="n">
        <x:v>46256</x:v>
      </x:c>
      <x:c r="B358" s="170" t="str">
        <x:v>Triceps</x:v>
      </x:c>
      <x:c r="C358" s="170" t="str">
        <x:v>Rope Pushdown</x:v>
      </x:c>
      <x:c r="D358" s="170" t="n">
        <x:v>4</x:v>
      </x:c>
      <x:c r="E358" s="170" t="n">
        <x:v>40</x:v>
      </x:c>
      <x:c r="F358" s="170" t="str">
        <x:v>kg total stack</x:v>
      </x:c>
      <x:c r="G358" s="170" t="n">
        <x:v>11</x:v>
      </x:c>
      <x:c r="H358" s="170" t="str">
        <x:v>Controlled; rope spread; no forced reps</x:v>
      </x:c>
      <x:c r="I358" s="170" t="str">
        <x:v>Very little shoulder soreness, unchanged from pre-workout; no shoulder, elbow or wrist pain</x:v>
      </x:c>
      <x:c r="J358" s="170" t="str">
        <x:v>Low final</x:v>
      </x:c>
      <x:c r="K358" s="170" t="str">
        <x:v>Good</x:v>
      </x:c>
      <x:c r="L358" s="170" t="str">
        <x:v>Fourth working set exceeded plan; do not progress load</x:v>
      </x:c>
      <x:c r="M358" s="170" t="str">
        <x:v>Working</x:v>
      </x:c>
      <x:c r="N358" s="170" t="n">
        <x:v>1</x:v>
      </x:c>
    </x:row>
    <x:row r="359">
      <x:c r="A359" s="220" t="n">
        <x:v>46256</x:v>
      </x:c>
      <x:c r="B359" s="170" t="str">
        <x:v>Triceps</x:v>
      </x:c>
      <x:c r="C359" s="170" t="str">
        <x:v>Overhead Rope Extension</x:v>
      </x:c>
      <x:c r="D359" s="170" t="n">
        <x:v>1</x:v>
      </x:c>
      <x:c r="E359" s="170" t="n">
        <x:v>30</x:v>
      </x:c>
      <x:c r="F359" s="170" t="str">
        <x:v>kg total stack</x:v>
      </x:c>
      <x:c r="G359" s="170" t="n">
        <x:v>16</x:v>
      </x:c>
      <x:c r="H359" s="170" t="str">
        <x:v>Ribs down; elbows stable; shoulder soreness did not increase</x:v>
      </x:c>
      <x:c r="I359" s="170" t="str">
        <x:v>Very little shoulder soreness, unchanged from pre-workout; no shoulder, elbow or wrist pain</x:v>
      </x:c>
      <x:c r="J359" s="170" t="str">
        <x:v>Low final</x:v>
      </x:c>
      <x:c r="K359" s="170" t="str">
        <x:v>Good</x:v>
      </x:c>
      <x:c r="L359" s="170"/>
      <x:c r="M359" s="170" t="str">
        <x:v>Working</x:v>
      </x:c>
      <x:c r="N359" s="170" t="n">
        <x:v>3</x:v>
      </x:c>
    </x:row>
    <x:row r="360">
      <x:c r="A360" s="220" t="n">
        <x:v>46256</x:v>
      </x:c>
      <x:c r="B360" s="170" t="str">
        <x:v>Triceps</x:v>
      </x:c>
      <x:c r="C360" s="170" t="str">
        <x:v>Overhead Rope Extension</x:v>
      </x:c>
      <x:c r="D360" s="170" t="n">
        <x:v>2</x:v>
      </x:c>
      <x:c r="E360" s="170" t="n">
        <x:v>35</x:v>
      </x:c>
      <x:c r="F360" s="170" t="str">
        <x:v>kg total stack</x:v>
      </x:c>
      <x:c r="G360" s="170" t="n">
        <x:v>13</x:v>
      </x:c>
      <x:c r="H360" s="170" t="str">
        <x:v>Ribs down; elbows stable; shoulder soreness did not increase</x:v>
      </x:c>
      <x:c r="I360" s="170" t="str">
        <x:v>Very little shoulder soreness, unchanged from pre-workout; no shoulder, elbow or wrist pain</x:v>
      </x:c>
      <x:c r="J360" s="170" t="str">
        <x:v>Low final</x:v>
      </x:c>
      <x:c r="K360" s="170" t="str">
        <x:v>Good</x:v>
      </x:c>
      <x:c r="L360" s="170"/>
      <x:c r="M360" s="170" t="str">
        <x:v>Working</x:v>
      </x:c>
      <x:c r="N360" s="170" t="n">
        <x:v>2</x:v>
      </x:c>
    </x:row>
    <x:row r="361">
      <x:c r="A361" s="220" t="n">
        <x:v>46256</x:v>
      </x:c>
      <x:c r="B361" s="170" t="str">
        <x:v>Triceps</x:v>
      </x:c>
      <x:c r="C361" s="170" t="str">
        <x:v>Overhead Rope Extension</x:v>
      </x:c>
      <x:c r="D361" s="170" t="n">
        <x:v>3</x:v>
      </x:c>
      <x:c r="E361" s="170" t="n">
        <x:v>40</x:v>
      </x:c>
      <x:c r="F361" s="170" t="str">
        <x:v>kg total stack</x:v>
      </x:c>
      <x:c r="G361" s="170" t="n">
        <x:v>10</x:v>
      </x:c>
      <x:c r="H361" s="170" t="str">
        <x:v>Ribs down; elbows stable; shoulder soreness did not increase</x:v>
      </x:c>
      <x:c r="I361" s="170" t="str">
        <x:v>Very little shoulder soreness, unchanged from pre-workout; no shoulder, elbow or wrist pain</x:v>
      </x:c>
      <x:c r="J361" s="170" t="str">
        <x:v>Low final</x:v>
      </x:c>
      <x:c r="K361" s="170" t="str">
        <x:v>Good</x:v>
      </x:c>
      <x:c r="L361" s="170" t="str">
        <x:v>Keep load and add one clean rep</x:v>
      </x:c>
      <x:c r="M361" s="170" t="str">
        <x:v>Working</x:v>
      </x:c>
      <x:c r="N361" s="170" t="n">
        <x:v>2</x:v>
      </x:c>
    </x:row>
    <x:row r="362">
      <x:c r="A362" s="220" t="n">
        <x:v>46256</x:v>
      </x:c>
      <x:c r="B362" s="170" t="str">
        <x:v>Triceps</x:v>
      </x:c>
      <x:c r="C362" s="170" t="str">
        <x:v>Single-Arm Cable Pushdown</x:v>
      </x:c>
      <x:c r="D362" s="170" t="n">
        <x:v>1</x:v>
      </x:c>
      <x:c r="E362" s="170" t="n">
        <x:v>10</x:v>
      </x:c>
      <x:c r="F362" s="170" t="str">
        <x:v>kg stack; reps each arm</x:v>
      </x:c>
      <x:c r="G362" s="170" t="n">
        <x:v>15</x:v>
      </x:c>
      <x:c r="H362" s="170" t="str">
        <x:v>Both arms completed; side-to-side difference To verify</x:v>
      </x:c>
      <x:c r="I362" s="170" t="str">
        <x:v>Very little shoulder soreness, unchanged from pre-workout; no shoulder, elbow or wrist pain</x:v>
      </x:c>
      <x:c r="J362" s="170" t="str">
        <x:v>Low final</x:v>
      </x:c>
      <x:c r="K362" s="170" t="str">
        <x:v>Good</x:v>
      </x:c>
      <x:c r="L362" s="170"/>
      <x:c r="M362" s="170" t="str">
        <x:v>Working</x:v>
      </x:c>
      <x:c r="N362" s="170" t="n">
        <x:v>2</x:v>
      </x:c>
    </x:row>
    <x:row r="363">
      <x:c r="A363" s="220" t="n">
        <x:v>46256</x:v>
      </x:c>
      <x:c r="B363" s="170" t="str">
        <x:v>Triceps</x:v>
      </x:c>
      <x:c r="C363" s="170" t="str">
        <x:v>Single-Arm Cable Pushdown</x:v>
      </x:c>
      <x:c r="D363" s="170" t="n">
        <x:v>2</x:v>
      </x:c>
      <x:c r="E363" s="170" t="n">
        <x:v>15</x:v>
      </x:c>
      <x:c r="F363" s="170" t="str">
        <x:v>kg stack; reps each arm</x:v>
      </x:c>
      <x:c r="G363" s="170" t="n">
        <x:v>9</x:v>
      </x:c>
      <x:c r="H363" s="170" t="str">
        <x:v>Both arms completed; side-to-side difference To verify</x:v>
      </x:c>
      <x:c r="I363" s="170" t="str">
        <x:v>Very little shoulder soreness, unchanged from pre-workout; no shoulder, elbow or wrist pain</x:v>
      </x:c>
      <x:c r="J363" s="170" t="str">
        <x:v>Low final</x:v>
      </x:c>
      <x:c r="K363" s="170" t="str">
        <x:v>Good</x:v>
      </x:c>
      <x:c r="L363" s="170" t="str">
        <x:v>Better reserve than prior RIR-1 baseline</x:v>
      </x:c>
      <x:c r="M363" s="170" t="str">
        <x:v>Working</x:v>
      </x:c>
      <x:c r="N363" s="170" t="n">
        <x:v>2</x:v>
      </x:c>
    </x:row>
    <x:row r="364">
      <x:c r="A364" s="220" t="n">
        <x:v>46256</x:v>
      </x:c>
      <x:c r="B364" s="170" t="str">
        <x:v>Triceps</x:v>
      </x:c>
      <x:c r="C364" s="170" t="str">
        <x:v>Single-Arm Cable Pushdown</x:v>
      </x:c>
      <x:c r="D364" s="170" t="n">
        <x:v>3</x:v>
      </x:c>
      <x:c r="E364" s="170" t="n">
        <x:v>15</x:v>
      </x:c>
      <x:c r="F364" s="170" t="str">
        <x:v>kg stack; reps each arm</x:v>
      </x:c>
      <x:c r="G364" s="170" t="n">
        <x:v>10</x:v>
      </x:c>
      <x:c r="H364" s="170" t="str">
        <x:v>Both arms completed; side-to-side difference To verify</x:v>
      </x:c>
      <x:c r="I364" s="170" t="str">
        <x:v>Very little shoulder soreness, unchanged from pre-workout; no shoulder, elbow or wrist pain</x:v>
      </x:c>
      <x:c r="J364" s="170" t="str">
        <x:v>Low final</x:v>
      </x:c>
      <x:c r="K364" s="170" t="str">
        <x:v>Good</x:v>
      </x:c>
      <x:c r="L364" s="170" t="str">
        <x:v>Better reserve than prior RIR-1 baseline</x:v>
      </x:c>
      <x:c r="M364" s="170" t="str">
        <x:v>Working</x:v>
      </x:c>
      <x:c r="N364" s="170" t="n">
        <x:v>2</x:v>
      </x:c>
    </x:row>
    <x:row r="365">
      <x:c r="A365" s="220" t="n">
        <x:v>46256</x:v>
      </x:c>
      <x:c r="B365" s="170" t="str">
        <x:v>Triceps</x:v>
      </x:c>
      <x:c r="C365" s="170" t="str">
        <x:v>Seated Two-Hand Overhead Dumbbell Extension</x:v>
      </x:c>
      <x:c r="D365" s="170" t="n">
        <x:v>1</x:v>
      </x:c>
      <x:c r="E365" s="170" t="n">
        <x:v>20</x:v>
      </x:c>
      <x:c r="F365" s="170" t="str">
        <x:v>kg one dumbbell total</x:v>
      </x:c>
      <x:c r="G365" s="170" t="n">
        <x:v>15</x:v>
      </x:c>
      <x:c r="H365" s="170" t="str">
        <x:v>Back supported; ribs down; no forced reps</x:v>
      </x:c>
      <x:c r="I365" s="170" t="str">
        <x:v>Very little shoulder soreness, unchanged from pre-workout; no shoulder, elbow or wrist pain</x:v>
      </x:c>
      <x:c r="J365" s="170" t="str">
        <x:v>Low final</x:v>
      </x:c>
      <x:c r="K365" s="170" t="str">
        <x:v>Good</x:v>
      </x:c>
      <x:c r="L365" s="170"/>
      <x:c r="M365" s="170" t="str">
        <x:v>Working</x:v>
      </x:c>
      <x:c r="N365" s="170" t="n">
        <x:v>2</x:v>
      </x:c>
    </x:row>
    <x:row r="366">
      <x:c r="A366" s="220" t="n">
        <x:v>46256</x:v>
      </x:c>
      <x:c r="B366" s="170" t="str">
        <x:v>Triceps</x:v>
      </x:c>
      <x:c r="C366" s="170" t="str">
        <x:v>Seated Two-Hand Overhead Dumbbell Extension</x:v>
      </x:c>
      <x:c r="D366" s="170" t="n">
        <x:v>2</x:v>
      </x:c>
      <x:c r="E366" s="170" t="n">
        <x:v>22.5</x:v>
      </x:c>
      <x:c r="F366" s="170" t="str">
        <x:v>kg one dumbbell total</x:v>
      </x:c>
      <x:c r="G366" s="170" t="n">
        <x:v>13</x:v>
      </x:c>
      <x:c r="H366" s="170" t="str">
        <x:v>Back supported; ribs down; no forced reps</x:v>
      </x:c>
      <x:c r="I366" s="170" t="str">
        <x:v>Very little shoulder soreness, unchanged from pre-workout; no shoulder, elbow or wrist pain</x:v>
      </x:c>
      <x:c r="J366" s="170" t="str">
        <x:v>Low final</x:v>
      </x:c>
      <x:c r="K366" s="170" t="str">
        <x:v>Good</x:v>
      </x:c>
      <x:c r="L366" s="170" t="str">
        <x:v>Added one rep</x:v>
      </x:c>
      <x:c r="M366" s="170" t="str">
        <x:v>Working</x:v>
      </x:c>
      <x:c r="N366" s="170" t="n">
        <x:v>2</x:v>
      </x:c>
    </x:row>
    <x:row r="367">
      <x:c r="A367" s="220" t="n">
        <x:v>46256</x:v>
      </x:c>
      <x:c r="B367" s="170" t="str">
        <x:v>Triceps</x:v>
      </x:c>
      <x:c r="C367" s="170" t="str">
        <x:v>Seated Two-Hand Overhead Dumbbell Extension</x:v>
      </x:c>
      <x:c r="D367" s="170" t="n">
        <x:v>3</x:v>
      </x:c>
      <x:c r="E367" s="170" t="n">
        <x:v>25</x:v>
      </x:c>
      <x:c r="F367" s="170" t="str">
        <x:v>kg one dumbbell total</x:v>
      </x:c>
      <x:c r="G367" s="170" t="n">
        <x:v>10</x:v>
      </x:c>
      <x:c r="H367" s="170" t="str">
        <x:v>Back supported; ribs down; no forced reps</x:v>
      </x:c>
      <x:c r="I367" s="170" t="str">
        <x:v>Very little shoulder soreness, unchanged from pre-workout; no shoulder, elbow or wrist pain</x:v>
      </x:c>
      <x:c r="J367" s="170" t="str">
        <x:v>Low final</x:v>
      </x:c>
      <x:c r="K367" s="170" t="str">
        <x:v>Good</x:v>
      </x:c>
      <x:c r="L367" s="170" t="str">
        <x:v>Third set completed despite live reduction to two; retained as fatigue</x:v>
      </x:c>
      <x:c r="M367" s="170" t="str">
        <x:v>Working</x:v>
      </x:c>
      <x:c r="N367" s="170" t="n">
        <x:v>2</x:v>
      </x:c>
    </x:row>
    <x:row r="368">
      <x:c r="A368" s="220" t="n">
        <x:v>46256</x:v>
      </x:c>
      <x:c r="B368" s="170" t="str">
        <x:v>Triceps</x:v>
      </x:c>
      <x:c r="C368" s="170" t="str">
        <x:v>Assisted Dip Machine</x:v>
      </x:c>
      <x:c r="D368" s="170" t="n">
        <x:v>1</x:v>
      </x:c>
      <x:c r="E368" s="170" t="n">
        <x:v>70</x:v>
      </x:c>
      <x:c r="F368" s="170" t="str">
        <x:v>kg machine assistance; higher is easier</x:v>
      </x:c>
      <x:c r="G368" s="170" t="n">
        <x:v>15</x:v>
      </x:c>
      <x:c r="H368" s="170" t="str">
        <x:v>Controlled depth; no forced human assistance</x:v>
      </x:c>
      <x:c r="I368" s="170" t="str">
        <x:v>Very little shoulder soreness, unchanged from pre-workout; no shoulder, elbow or wrist pain</x:v>
      </x:c>
      <x:c r="J368" s="170" t="str">
        <x:v>Low final</x:v>
      </x:c>
      <x:c r="K368" s="170" t="str">
        <x:v>Good</x:v>
      </x:c>
      <x:c r="L368" s="170"/>
      <x:c r="M368" s="170" t="str">
        <x:v>Working</x:v>
      </x:c>
      <x:c r="N368" s="170" t="n">
        <x:v>3</x:v>
      </x:c>
    </x:row>
    <x:row r="369">
      <x:c r="A369" s="220" t="n">
        <x:v>46256</x:v>
      </x:c>
      <x:c r="B369" s="170" t="str">
        <x:v>Triceps</x:v>
      </x:c>
      <x:c r="C369" s="170" t="str">
        <x:v>Assisted Dip Machine</x:v>
      </x:c>
      <x:c r="D369" s="170" t="n">
        <x:v>2</x:v>
      </x:c>
      <x:c r="E369" s="170" t="n">
        <x:v>60</x:v>
      </x:c>
      <x:c r="F369" s="170" t="str">
        <x:v>kg machine assistance; higher is easier</x:v>
      </x:c>
      <x:c r="G369" s="170" t="n">
        <x:v>12</x:v>
      </x:c>
      <x:c r="H369" s="170" t="str">
        <x:v>Controlled depth; no forced human assistance</x:v>
      </x:c>
      <x:c r="I369" s="170" t="str">
        <x:v>Very little shoulder soreness, unchanged from pre-workout; no shoulder, elbow or wrist pain</x:v>
      </x:c>
      <x:c r="J369" s="170" t="str">
        <x:v>Low final</x:v>
      </x:c>
      <x:c r="K369" s="170" t="str">
        <x:v>Good</x:v>
      </x:c>
      <x:c r="L369" s="170"/>
      <x:c r="M369" s="170" t="str">
        <x:v>Working</x:v>
      </x:c>
      <x:c r="N369" s="170" t="n">
        <x:v>2</x:v>
      </x:c>
    </x:row>
    <x:row r="370">
      <x:c r="A370" s="220" t="n">
        <x:v>46256</x:v>
      </x:c>
      <x:c r="B370" s="170" t="str">
        <x:v>Triceps</x:v>
      </x:c>
      <x:c r="C370" s="170" t="str">
        <x:v>Assisted Dip Machine</x:v>
      </x:c>
      <x:c r="D370" s="170" t="n">
        <x:v>3</x:v>
      </x:c>
      <x:c r="E370" s="170" t="n">
        <x:v>50</x:v>
      </x:c>
      <x:c r="F370" s="170" t="str">
        <x:v>kg machine assistance; higher is easier</x:v>
      </x:c>
      <x:c r="G370" s="170" t="n">
        <x:v>9</x:v>
      </x:c>
      <x:c r="H370" s="170" t="str">
        <x:v>Controlled depth; no forced human assistance</x:v>
      </x:c>
      <x:c r="I370" s="170" t="str">
        <x:v>Very little shoulder soreness, unchanged from pre-workout; no shoulder, elbow or wrist pain</x:v>
      </x:c>
      <x:c r="J370" s="170" t="str">
        <x:v>Low final</x:v>
      </x:c>
      <x:c r="K370" s="170" t="str">
        <x:v>Good</x:v>
      </x:c>
      <x:c r="L370" s="170" t="str">
        <x:v>Third set completed despite live reduction to two; improve reserve before reducing assistance</x:v>
      </x:c>
      <x:c r="M370" s="170" t="str">
        <x:v>Working</x:v>
      </x:c>
      <x:c r="N370" s="170" t="n">
        <x:v>1</x:v>
      </x:c>
    </x:row>
    <x:row r="371">
      <x:c r="A371" s="220" t="n">
        <x:v>46258</x:v>
      </x:c>
      <x:c r="B371" s="170" t="str">
        <x:v>Back</x:v>
      </x:c>
      <x:c r="C371" s="170" t="str">
        <x:v>Lat Pulldown</x:v>
      </x:c>
      <x:c r="D371" s="170" t="n">
        <x:v>1</x:v>
      </x:c>
      <x:c r="E371" s="170" t="n">
        <x:v>45</x:v>
      </x:c>
      <x:c r="F371" s="170" t="str">
        <x:v>kg total stack</x:v>
      </x:c>
      <x:c r="G371" s="170" t="n">
        <x:v>16</x:v>
      </x:c>
      <x:c r="H371" s="170" t="str">
        <x:v>No assistance or technique breakdown reported; detailed form To verify</x:v>
      </x:c>
      <x:c r="I371" s="170" t="str">
        <x:v>No back, biceps, elbow, shoulder or lower-back pain; no unusual sensation reported</x:v>
      </x:c>
      <x:c r="J371" s="170" t="str">
        <x:v>Low final</x:v>
      </x:c>
      <x:c r="K371" s="170" t="str">
        <x:v>Good</x:v>
      </x:c>
      <x:c r="L371" s="170" t="str">
        <x:v>Preparation set but RIR 3 and high repetitions created working-level fatigue</x:v>
      </x:c>
      <x:c r="M371" s="170" t="str">
        <x:v>Warm-up</x:v>
      </x:c>
      <x:c r="N371" s="170" t="n">
        <x:v>3</x:v>
      </x:c>
    </x:row>
    <x:row r="372">
      <x:c r="A372" s="220" t="n">
        <x:v>46258</x:v>
      </x:c>
      <x:c r="B372" s="170" t="str">
        <x:v>Back</x:v>
      </x:c>
      <x:c r="C372" s="170" t="str">
        <x:v>Lat Pulldown</x:v>
      </x:c>
      <x:c r="D372" s="170" t="n">
        <x:v>2</x:v>
      </x:c>
      <x:c r="E372" s="170" t="n">
        <x:v>50</x:v>
      </x:c>
      <x:c r="F372" s="170" t="str">
        <x:v>kg total stack</x:v>
      </x:c>
      <x:c r="G372" s="170" t="n">
        <x:v>13</x:v>
      </x:c>
      <x:c r="H372" s="170" t="str">
        <x:v>No assistance or technique breakdown reported; detailed form To verify</x:v>
      </x:c>
      <x:c r="I372" s="170" t="str">
        <x:v>No back, biceps, elbow, shoulder or lower-back pain; no unusual sensation reported</x:v>
      </x:c>
      <x:c r="J372" s="170" t="str">
        <x:v>Low final</x:v>
      </x:c>
      <x:c r="K372" s="170" t="str">
        <x:v>Good</x:v>
      </x:c>
      <x:c r="L372" s="170"/>
      <x:c r="M372" s="170" t="str">
        <x:v>Working</x:v>
      </x:c>
      <x:c r="N372" s="170" t="n">
        <x:v>2</x:v>
      </x:c>
    </x:row>
    <x:row r="373">
      <x:c r="A373" s="220" t="n">
        <x:v>46258</x:v>
      </x:c>
      <x:c r="B373" s="170" t="str">
        <x:v>Back</x:v>
      </x:c>
      <x:c r="C373" s="170" t="str">
        <x:v>Lat Pulldown</x:v>
      </x:c>
      <x:c r="D373" s="170" t="n">
        <x:v>3</x:v>
      </x:c>
      <x:c r="E373" s="170" t="n">
        <x:v>55</x:v>
      </x:c>
      <x:c r="F373" s="170" t="str">
        <x:v>kg total stack</x:v>
      </x:c>
      <x:c r="G373" s="170" t="n">
        <x:v>11</x:v>
      </x:c>
      <x:c r="H373" s="170" t="str">
        <x:v>No assistance or technique breakdown reported; detailed form To verify</x:v>
      </x:c>
      <x:c r="I373" s="170" t="str">
        <x:v>No back, biceps, elbow, shoulder or lower-back pain; no unusual sensation reported</x:v>
      </x:c>
      <x:c r="J373" s="170" t="str">
        <x:v>Low final</x:v>
      </x:c>
      <x:c r="K373" s="170" t="str">
        <x:v>Good</x:v>
      </x:c>
      <x:c r="L373" s="170" t="str">
        <x:v>Reached target</x:v>
      </x:c>
      <x:c r="M373" s="170" t="str">
        <x:v>Working</x:v>
      </x:c>
      <x:c r="N373" s="170" t="n">
        <x:v>2</x:v>
      </x:c>
    </x:row>
    <x:row r="374">
      <x:c r="A374" s="220" t="n">
        <x:v>46258</x:v>
      </x:c>
      <x:c r="B374" s="170" t="str">
        <x:v>Back</x:v>
      </x:c>
      <x:c r="C374" s="170" t="str">
        <x:v>Lat Pulldown</x:v>
      </x:c>
      <x:c r="D374" s="170" t="n">
        <x:v>4</x:v>
      </x:c>
      <x:c r="E374" s="170" t="n">
        <x:v>60</x:v>
      </x:c>
      <x:c r="F374" s="170" t="str">
        <x:v>kg total stack</x:v>
      </x:c>
      <x:c r="G374" s="170" t="n">
        <x:v>9</x:v>
      </x:c>
      <x:c r="H374" s="170" t="str">
        <x:v>No assistance or technique breakdown reported; detailed form To verify</x:v>
      </x:c>
      <x:c r="I374" s="170" t="str">
        <x:v>No back, biceps, elbow, shoulder or lower-back pain; no unusual sensation reported</x:v>
      </x:c>
      <x:c r="J374" s="170" t="str">
        <x:v>Low final</x:v>
      </x:c>
      <x:c r="K374" s="170" t="str">
        <x:v>Good</x:v>
      </x:c>
      <x:c r="L374" s="170" t="str">
        <x:v>Added one rep while improving reserve</x:v>
      </x:c>
      <x:c r="M374" s="170" t="str">
        <x:v>Working</x:v>
      </x:c>
      <x:c r="N374" s="170" t="n">
        <x:v>2</x:v>
      </x:c>
    </x:row>
    <x:row r="375">
      <x:c r="A375" s="220" t="n">
        <x:v>46258</x:v>
      </x:c>
      <x:c r="B375" s="170" t="str">
        <x:v>Back</x:v>
      </x:c>
      <x:c r="C375" s="170" t="str">
        <x:v>Seated Cable Row</x:v>
      </x:c>
      <x:c r="D375" s="170" t="n">
        <x:v>1</x:v>
      </x:c>
      <x:c r="E375" s="170" t="n">
        <x:v>45</x:v>
      </x:c>
      <x:c r="F375" s="170" t="str">
        <x:v>kg total stack</x:v>
      </x:c>
      <x:c r="G375" s="170" t="n">
        <x:v>15</x:v>
      </x:c>
      <x:c r="H375" s="170" t="str">
        <x:v>No assistance or technique breakdown reported; detailed form To verify</x:v>
      </x:c>
      <x:c r="I375" s="170" t="str">
        <x:v>No back, biceps, elbow, shoulder or lower-back pain; no unusual sensation reported</x:v>
      </x:c>
      <x:c r="J375" s="170" t="str">
        <x:v>Low final</x:v>
      </x:c>
      <x:c r="K375" s="170" t="str">
        <x:v>Good</x:v>
      </x:c>
      <x:c r="L375" s="170" t="str">
        <x:v>Preparation set but RIR 3 and high repetitions created working-level fatigue</x:v>
      </x:c>
      <x:c r="M375" s="170" t="str">
        <x:v>Warm-up</x:v>
      </x:c>
      <x:c r="N375" s="170" t="n">
        <x:v>3</x:v>
      </x:c>
    </x:row>
    <x:row r="376">
      <x:c r="A376" s="220" t="n">
        <x:v>46258</x:v>
      </x:c>
      <x:c r="B376" s="170" t="str">
        <x:v>Back</x:v>
      </x:c>
      <x:c r="C376" s="170" t="str">
        <x:v>Seated Cable Row</x:v>
      </x:c>
      <x:c r="D376" s="170" t="n">
        <x:v>2</x:v>
      </x:c>
      <x:c r="E376" s="170" t="n">
        <x:v>50</x:v>
      </x:c>
      <x:c r="F376" s="170" t="str">
        <x:v>kg total stack</x:v>
      </x:c>
      <x:c r="G376" s="170" t="n">
        <x:v>12</x:v>
      </x:c>
      <x:c r="H376" s="170" t="str">
        <x:v>No assistance or technique breakdown reported; detailed form To verify</x:v>
      </x:c>
      <x:c r="I376" s="170" t="str">
        <x:v>No back, biceps, elbow, shoulder or lower-back pain; no unusual sensation reported</x:v>
      </x:c>
      <x:c r="J376" s="170" t="str">
        <x:v>Low final</x:v>
      </x:c>
      <x:c r="K376" s="170" t="str">
        <x:v>Good</x:v>
      </x:c>
      <x:c r="L376" s="170"/>
      <x:c r="M376" s="170" t="str">
        <x:v>Working</x:v>
      </x:c>
      <x:c r="N376" s="170" t="n">
        <x:v>3</x:v>
      </x:c>
    </x:row>
    <x:row r="377">
      <x:c r="A377" s="220" t="n">
        <x:v>46258</x:v>
      </x:c>
      <x:c r="B377" s="170" t="str">
        <x:v>Back</x:v>
      </x:c>
      <x:c r="C377" s="170" t="str">
        <x:v>Seated Cable Row</x:v>
      </x:c>
      <x:c r="D377" s="170" t="n">
        <x:v>3</x:v>
      </x:c>
      <x:c r="E377" s="170" t="n">
        <x:v>55</x:v>
      </x:c>
      <x:c r="F377" s="170" t="str">
        <x:v>kg total stack</x:v>
      </x:c>
      <x:c r="G377" s="170" t="n">
        <x:v>10</x:v>
      </x:c>
      <x:c r="H377" s="170" t="str">
        <x:v>No assistance or technique breakdown reported; detailed form To verify</x:v>
      </x:c>
      <x:c r="I377" s="170" t="str">
        <x:v>No back, biceps, elbow, shoulder or lower-back pain; no unusual sensation reported</x:v>
      </x:c>
      <x:c r="J377" s="170" t="str">
        <x:v>Low final</x:v>
      </x:c>
      <x:c r="K377" s="170" t="str">
        <x:v>Good</x:v>
      </x:c>
      <x:c r="L377" s="170" t="str">
        <x:v>Reserve improved</x:v>
      </x:c>
      <x:c r="M377" s="170" t="str">
        <x:v>Working</x:v>
      </x:c>
      <x:c r="N377" s="170" t="n">
        <x:v>3</x:v>
      </x:c>
    </x:row>
    <x:row r="378">
      <x:c r="A378" s="220" t="n">
        <x:v>46258</x:v>
      </x:c>
      <x:c r="B378" s="170" t="str">
        <x:v>Back</x:v>
      </x:c>
      <x:c r="C378" s="170" t="str">
        <x:v>Seated Cable Row</x:v>
      </x:c>
      <x:c r="D378" s="170" t="n">
        <x:v>4</x:v>
      </x:c>
      <x:c r="E378" s="170" t="n">
        <x:v>60</x:v>
      </x:c>
      <x:c r="F378" s="170" t="str">
        <x:v>kg total stack</x:v>
      </x:c>
      <x:c r="G378" s="170" t="n">
        <x:v>10</x:v>
      </x:c>
      <x:c r="H378" s="170" t="str">
        <x:v>No assistance or technique breakdown reported; detailed form To verify</x:v>
      </x:c>
      <x:c r="I378" s="170" t="str">
        <x:v>No back, biceps, elbow, shoulder or lower-back pain; no unusual sensation reported</x:v>
      </x:c>
      <x:c r="J378" s="170" t="str">
        <x:v>Low final</x:v>
      </x:c>
      <x:c r="K378" s="170" t="str">
        <x:v>Good</x:v>
      </x:c>
      <x:c r="L378" s="170" t="str">
        <x:v>Added one rep but missed RIR-2 target; keep load</x:v>
      </x:c>
      <x:c r="M378" s="170" t="str">
        <x:v>Working</x:v>
      </x:c>
      <x:c r="N378" s="170" t="n">
        <x:v>1</x:v>
      </x:c>
    </x:row>
    <x:row r="379">
      <x:c r="A379" s="220" t="n">
        <x:v>46258</x:v>
      </x:c>
      <x:c r="B379" s="170" t="str">
        <x:v>Back</x:v>
      </x:c>
      <x:c r="C379" s="170" t="str">
        <x:v>Chest-Supported Row</x:v>
      </x:c>
      <x:c r="D379" s="170" t="n">
        <x:v>1</x:v>
      </x:c>
      <x:c r="E379" s="170" t="n">
        <x:v>40</x:v>
      </x:c>
      <x:c r="F379" s="170" t="str">
        <x:v>kg plates each side</x:v>
      </x:c>
      <x:c r="G379" s="170" t="n">
        <x:v>16</x:v>
      </x:c>
      <x:c r="H379" s="170" t="str">
        <x:v>No assistance or technique breakdown reported; detailed form To verify</x:v>
      </x:c>
      <x:c r="I379" s="170" t="str">
        <x:v>No back, biceps, elbow, shoulder or lower-back pain; no unusual sensation reported</x:v>
      </x:c>
      <x:c r="J379" s="170" t="str">
        <x:v>Low final</x:v>
      </x:c>
      <x:c r="K379" s="170" t="str">
        <x:v>Good</x:v>
      </x:c>
      <x:c r="L379" s="170" t="str">
        <x:v>Added one rep</x:v>
      </x:c>
      <x:c r="M379" s="170" t="str">
        <x:v>Working</x:v>
      </x:c>
      <x:c r="N379" s="170" t="n">
        <x:v>3</x:v>
      </x:c>
    </x:row>
    <x:row r="380">
      <x:c r="A380" s="220" t="n">
        <x:v>46258</x:v>
      </x:c>
      <x:c r="B380" s="170" t="str">
        <x:v>Back</x:v>
      </x:c>
      <x:c r="C380" s="170" t="str">
        <x:v>Chest-Supported Row</x:v>
      </x:c>
      <x:c r="D380" s="170" t="n">
        <x:v>2</x:v>
      </x:c>
      <x:c r="E380" s="170" t="n">
        <x:v>50</x:v>
      </x:c>
      <x:c r="F380" s="170" t="str">
        <x:v>kg plates each side</x:v>
      </x:c>
      <x:c r="G380" s="170" t="n">
        <x:v>13</x:v>
      </x:c>
      <x:c r="H380" s="170" t="str">
        <x:v>No assistance or technique breakdown reported; detailed form To verify</x:v>
      </x:c>
      <x:c r="I380" s="170" t="str">
        <x:v>No back, biceps, elbow, shoulder or lower-back pain; no unusual sensation reported</x:v>
      </x:c>
      <x:c r="J380" s="170" t="str">
        <x:v>Low final</x:v>
      </x:c>
      <x:c r="K380" s="170" t="str">
        <x:v>Good</x:v>
      </x:c>
      <x:c r="L380" s="170" t="str">
        <x:v>Reserve improved</x:v>
      </x:c>
      <x:c r="M380" s="170" t="str">
        <x:v>Working</x:v>
      </x:c>
      <x:c r="N380" s="170" t="n">
        <x:v>3</x:v>
      </x:c>
    </x:row>
    <x:row r="381">
      <x:c r="A381" s="220" t="n">
        <x:v>46258</x:v>
      </x:c>
      <x:c r="B381" s="170" t="str">
        <x:v>Back</x:v>
      </x:c>
      <x:c r="C381" s="170" t="str">
        <x:v>Chest-Supported Row</x:v>
      </x:c>
      <x:c r="D381" s="170" t="n">
        <x:v>3</x:v>
      </x:c>
      <x:c r="E381" s="170" t="n">
        <x:v>60</x:v>
      </x:c>
      <x:c r="F381" s="170" t="str">
        <x:v>kg plates each side</x:v>
      </x:c>
      <x:c r="G381" s="170" t="n">
        <x:v>11</x:v>
      </x:c>
      <x:c r="H381" s="170" t="str">
        <x:v>No assistance or technique breakdown reported; detailed form To verify</x:v>
      </x:c>
      <x:c r="I381" s="170" t="str">
        <x:v>No back, biceps, elbow, shoulder or lower-back pain; no unusual sensation reported</x:v>
      </x:c>
      <x:c r="J381" s="170" t="str">
        <x:v>Low final</x:v>
      </x:c>
      <x:c r="K381" s="170" t="str">
        <x:v>Good</x:v>
      </x:c>
      <x:c r="L381" s="170" t="str">
        <x:v>Quality progression through improved reserve</x:v>
      </x:c>
      <x:c r="M381" s="170" t="str">
        <x:v>Working</x:v>
      </x:c>
      <x:c r="N381" s="170" t="n">
        <x:v>3</x:v>
      </x:c>
    </x:row>
    <x:row r="382">
      <x:c r="A382" s="220" t="n">
        <x:v>46258</x:v>
      </x:c>
      <x:c r="B382" s="170" t="str">
        <x:v>Back</x:v>
      </x:c>
      <x:c r="C382" s="170" t="str">
        <x:v>Straight-Arm Pulldown</x:v>
      </x:c>
      <x:c r="D382" s="170" t="n">
        <x:v>1</x:v>
      </x:c>
      <x:c r="E382" s="170" t="n">
        <x:v>45</x:v>
      </x:c>
      <x:c r="F382" s="170" t="str">
        <x:v>kg total stack</x:v>
      </x:c>
      <x:c r="G382" s="170" t="n">
        <x:v>15</x:v>
      </x:c>
      <x:c r="H382" s="170" t="str">
        <x:v>No assistance or technique breakdown reported; detailed form To verify</x:v>
      </x:c>
      <x:c r="I382" s="170" t="str">
        <x:v>No back, biceps, elbow, shoulder or lower-back pain; no unusual sensation reported</x:v>
      </x:c>
      <x:c r="J382" s="170" t="str">
        <x:v>Low final</x:v>
      </x:c>
      <x:c r="K382" s="170" t="str">
        <x:v>Good</x:v>
      </x:c>
      <x:c r="L382" s="170"/>
      <x:c r="M382" s="170" t="str">
        <x:v>Working</x:v>
      </x:c>
      <x:c r="N382" s="170" t="n">
        <x:v>2</x:v>
      </x:c>
    </x:row>
    <x:row r="383">
      <x:c r="A383" s="220" t="n">
        <x:v>46258</x:v>
      </x:c>
      <x:c r="B383" s="170" t="str">
        <x:v>Back</x:v>
      </x:c>
      <x:c r="C383" s="170" t="str">
        <x:v>Straight-Arm Pulldown</x:v>
      </x:c>
      <x:c r="D383" s="170" t="n">
        <x:v>2</x:v>
      </x:c>
      <x:c r="E383" s="170" t="n">
        <x:v>50</x:v>
      </x:c>
      <x:c r="F383" s="170" t="str">
        <x:v>kg total stack</x:v>
      </x:c>
      <x:c r="G383" s="170" t="n">
        <x:v>12</x:v>
      </x:c>
      <x:c r="H383" s="170" t="str">
        <x:v>No assistance or technique breakdown reported; detailed form To verify</x:v>
      </x:c>
      <x:c r="I383" s="170" t="str">
        <x:v>No back, biceps, elbow, shoulder or lower-back pain; no unusual sensation reported</x:v>
      </x:c>
      <x:c r="J383" s="170" t="str">
        <x:v>Low final</x:v>
      </x:c>
      <x:c r="K383" s="170" t="str">
        <x:v>Good</x:v>
      </x:c>
      <x:c r="L383" s="170" t="str">
        <x:v>Reached target</x:v>
      </x:c>
      <x:c r="M383" s="170" t="str">
        <x:v>Working</x:v>
      </x:c>
      <x:c r="N383" s="170" t="n">
        <x:v>2</x:v>
      </x:c>
    </x:row>
    <x:row r="384">
      <x:c r="A384" s="220" t="n">
        <x:v>46258</x:v>
      </x:c>
      <x:c r="B384" s="170" t="str">
        <x:v>Back</x:v>
      </x:c>
      <x:c r="C384" s="170" t="str">
        <x:v>Straight-Arm Pulldown</x:v>
      </x:c>
      <x:c r="D384" s="170" t="n">
        <x:v>3</x:v>
      </x:c>
      <x:c r="E384" s="170" t="n">
        <x:v>55</x:v>
      </x:c>
      <x:c r="F384" s="170" t="str">
        <x:v>kg total stack</x:v>
      </x:c>
      <x:c r="G384" s="170" t="n">
        <x:v>9</x:v>
      </x:c>
      <x:c r="H384" s="170" t="str">
        <x:v>No assistance or technique breakdown reported; detailed form To verify</x:v>
      </x:c>
      <x:c r="I384" s="170" t="str">
        <x:v>No back, biceps, elbow, shoulder or lower-back pain; no unusual sensation reported</x:v>
      </x:c>
      <x:c r="J384" s="170" t="str">
        <x:v>Low final</x:v>
      </x:c>
      <x:c r="K384" s="170" t="str">
        <x:v>Good</x:v>
      </x:c>
      <x:c r="L384" s="170" t="str">
        <x:v>Unplanned third set; retained as fatigue; no progression credit</x:v>
      </x:c>
      <x:c r="M384" s="170" t="str">
        <x:v>Working</x:v>
      </x:c>
      <x:c r="N384" s="170" t="n">
        <x:v>1</x:v>
      </x:c>
    </x:row>
    <x:row r="385">
      <x:c r="A385" s="220" t="n">
        <x:v>46258</x:v>
      </x:c>
      <x:c r="B385" s="170" t="str">
        <x:v>Biceps</x:v>
      </x:c>
      <x:c r="C385" s="170" t="str">
        <x:v>Incline Dumbbell Curl</x:v>
      </x:c>
      <x:c r="D385" s="170" t="n">
        <x:v>1</x:v>
      </x:c>
      <x:c r="E385" s="170" t="n">
        <x:v>7.5</x:v>
      </x:c>
      <x:c r="F385" s="170" t="str">
        <x:v>kg each dumbbell</x:v>
      </x:c>
      <x:c r="G385" s="170" t="n">
        <x:v>15</x:v>
      </x:c>
      <x:c r="H385" s="170" t="str">
        <x:v>No assistance or technique breakdown reported; detailed form To verify</x:v>
      </x:c>
      <x:c r="I385" s="170" t="str">
        <x:v>No back, biceps, elbow, shoulder or lower-back pain; no unusual sensation reported</x:v>
      </x:c>
      <x:c r="J385" s="170" t="str">
        <x:v>Low final</x:v>
      </x:c>
      <x:c r="K385" s="170" t="str">
        <x:v>Good</x:v>
      </x:c>
      <x:c r="L385" s="170" t="str">
        <x:v>Completed after live reduction to two sets</x:v>
      </x:c>
      <x:c r="M385" s="170" t="str">
        <x:v>Working</x:v>
      </x:c>
      <x:c r="N385" s="170" t="n">
        <x:v>2</x:v>
      </x:c>
    </x:row>
    <x:row r="386">
      <x:c r="A386" s="220" t="n">
        <x:v>46258</x:v>
      </x:c>
      <x:c r="B386" s="170" t="str">
        <x:v>Biceps</x:v>
      </x:c>
      <x:c r="C386" s="170" t="str">
        <x:v>Incline Dumbbell Curl</x:v>
      </x:c>
      <x:c r="D386" s="170" t="n">
        <x:v>2</x:v>
      </x:c>
      <x:c r="E386" s="170" t="n">
        <x:v>10</x:v>
      </x:c>
      <x:c r="F386" s="170" t="str">
        <x:v>kg each dumbbell</x:v>
      </x:c>
      <x:c r="G386" s="170" t="n">
        <x:v>12</x:v>
      </x:c>
      <x:c r="H386" s="170" t="str">
        <x:v>No assistance or technique breakdown reported; detailed form To verify</x:v>
      </x:c>
      <x:c r="I386" s="170" t="str">
        <x:v>No back, biceps, elbow, shoulder or lower-back pain; no unusual sensation reported</x:v>
      </x:c>
      <x:c r="J386" s="170" t="str">
        <x:v>Low final</x:v>
      </x:c>
      <x:c r="K386" s="170" t="str">
        <x:v>Good</x:v>
      </x:c>
      <x:c r="L386" s="170"/>
      <x:c r="M386" s="170" t="str">
        <x:v>Working</x:v>
      </x:c>
      <x:c r="N386" s="170" t="n">
        <x:v>2</x:v>
      </x:c>
    </x:row>
    <x:row r="387">
      <x:c r="A387" s="220" t="n">
        <x:v>46258</x:v>
      </x:c>
      <x:c r="B387" s="170" t="str">
        <x:v>Biceps</x:v>
      </x:c>
      <x:c r="C387" s="170" t="str">
        <x:v>Incline Dumbbell Curl</x:v>
      </x:c>
      <x:c r="D387" s="170" t="n">
        <x:v>3</x:v>
      </x:c>
      <x:c r="E387" s="170" t="n">
        <x:v>12.5</x:v>
      </x:c>
      <x:c r="F387" s="170" t="str">
        <x:v>kg each dumbbell</x:v>
      </x:c>
      <x:c r="G387" s="170" t="n">
        <x:v>9</x:v>
      </x:c>
      <x:c r="H387" s="170" t="str">
        <x:v>No assistance or technique breakdown reported; detailed form To verify</x:v>
      </x:c>
      <x:c r="I387" s="170" t="str">
        <x:v>No back, biceps, elbow, shoulder or lower-back pain; no unusual sensation reported</x:v>
      </x:c>
      <x:c r="J387" s="170" t="str">
        <x:v>Low final</x:v>
      </x:c>
      <x:c r="K387" s="170" t="str">
        <x:v>Good</x:v>
      </x:c>
      <x:c r="L387" s="170" t="str">
        <x:v>Third set completed despite live reduction; keep load</x:v>
      </x:c>
      <x:c r="M387" s="170" t="str">
        <x:v>Working</x:v>
      </x:c>
      <x:c r="N387" s="170" t="n">
        <x:v>1</x:v>
      </x:c>
    </x:row>
    <x:row r="388">
      <x:c r="A388" s="220" t="n">
        <x:v>46258</x:v>
      </x:c>
      <x:c r="B388" s="170" t="str">
        <x:v>Biceps</x:v>
      </x:c>
      <x:c r="C388" s="170" t="str">
        <x:v>Hammer Curl</x:v>
      </x:c>
      <x:c r="D388" s="170" t="n">
        <x:v>1</x:v>
      </x:c>
      <x:c r="E388" s="170" t="n">
        <x:v>12.5</x:v>
      </x:c>
      <x:c r="F388" s="170" t="str">
        <x:v>kg each dumbbell</x:v>
      </x:c>
      <x:c r="G388" s="170" t="n">
        <x:v>17</x:v>
      </x:c>
      <x:c r="H388" s="170" t="str">
        <x:v>No assistance or technique breakdown reported; detailed form To verify</x:v>
      </x:c>
      <x:c r="I388" s="170" t="str">
        <x:v>No back, biceps, elbow, shoulder or lower-back pain; no unusual sensation reported</x:v>
      </x:c>
      <x:c r="J388" s="170" t="str">
        <x:v>Low final</x:v>
      </x:c>
      <x:c r="K388" s="170" t="str">
        <x:v>Good</x:v>
      </x:c>
      <x:c r="L388" s="170" t="str">
        <x:v>Only one set was prescribed after live volume adjustment</x:v>
      </x:c>
      <x:c r="M388" s="170" t="str">
        <x:v>Working</x:v>
      </x:c>
      <x:c r="N388" s="170" t="n">
        <x:v>2</x:v>
      </x:c>
    </x:row>
    <x:row r="389">
      <x:c r="A389" s="220" t="n">
        <x:v>46258</x:v>
      </x:c>
      <x:c r="B389" s="170" t="str">
        <x:v>Biceps</x:v>
      </x:c>
      <x:c r="C389" s="170" t="str">
        <x:v>Hammer Curl</x:v>
      </x:c>
      <x:c r="D389" s="170" t="n">
        <x:v>2</x:v>
      </x:c>
      <x:c r="E389" s="170" t="n">
        <x:v>15</x:v>
      </x:c>
      <x:c r="F389" s="170" t="str">
        <x:v>kg each dumbbell</x:v>
      </x:c>
      <x:c r="G389" s="170" t="n">
        <x:v>14</x:v>
      </x:c>
      <x:c r="H389" s="170" t="str">
        <x:v>No assistance or technique breakdown reported; detailed form To verify</x:v>
      </x:c>
      <x:c r="I389" s="170" t="str">
        <x:v>No back, biceps, elbow, shoulder or lower-back pain; no unusual sensation reported</x:v>
      </x:c>
      <x:c r="J389" s="170" t="str">
        <x:v>Low final</x:v>
      </x:c>
      <x:c r="K389" s="170" t="str">
        <x:v>Good</x:v>
      </x:c>
      <x:c r="L389" s="170" t="str">
        <x:v>Unplanned after live one-set limit; retained as fatigue</x:v>
      </x:c>
      <x:c r="M389" s="170" t="str">
        <x:v>Working</x:v>
      </x:c>
      <x:c r="N389" s="170" t="n">
        <x:v>2</x:v>
      </x:c>
    </x:row>
    <x:row r="390">
      <x:c r="A390" s="220" t="n">
        <x:v>46258</x:v>
      </x:c>
      <x:c r="B390" s="170" t="str">
        <x:v>Biceps</x:v>
      </x:c>
      <x:c r="C390" s="170" t="str">
        <x:v>Hammer Curl</x:v>
      </x:c>
      <x:c r="D390" s="170" t="n">
        <x:v>3</x:v>
      </x:c>
      <x:c r="E390" s="170" t="n">
        <x:v>17.5</x:v>
      </x:c>
      <x:c r="F390" s="170" t="str">
        <x:v>kg each dumbbell</x:v>
      </x:c>
      <x:c r="G390" s="170" t="n">
        <x:v>11</x:v>
      </x:c>
      <x:c r="H390" s="170" t="str">
        <x:v>No assistance or technique breakdown reported; detailed form To verify</x:v>
      </x:c>
      <x:c r="I390" s="170" t="str">
        <x:v>No back, biceps, elbow, shoulder or lower-back pain; no unusual sensation reported</x:v>
      </x:c>
      <x:c r="J390" s="170" t="str">
        <x:v>Low final</x:v>
      </x:c>
      <x:c r="K390" s="170" t="str">
        <x:v>Good</x:v>
      </x:c>
      <x:c r="L390" s="170" t="str">
        <x:v>Unplanned after live one-set limit; keep load until 12 reps at RIR 2</x:v>
      </x:c>
      <x:c r="M390" s="170" t="str">
        <x:v>Working</x:v>
      </x:c>
      <x:c r="N390" s="170" t="n">
        <x:v>2</x:v>
      </x:c>
    </x:row>
    <x:row r="391">
      <x:c r="A391" s="220" t="n">
        <x:v>46259</x:v>
      </x:c>
      <x:c r="B391" s="170" t="str">
        <x:v>Chest</x:v>
      </x:c>
      <x:c r="C391" s="170" t="str">
        <x:v>Flat Bench Press</x:v>
      </x:c>
      <x:c r="D391" s="170" t="n">
        <x:v>1</x:v>
      </x:c>
      <x:c r="E391" s="170" t="n">
        <x:v>15</x:v>
      </x:c>
      <x:c r="F391" s="170" t="str">
        <x:v>kg plates each side; bar excluded</x:v>
      </x:c>
      <x:c r="G391" s="170" t="n">
        <x:v>15</x:v>
      </x:c>
      <x:c r="H391" s="170" t="str">
        <x:v>Clean and unassisted; detailed bar path To verify</x:v>
      </x:c>
      <x:c r="I391" s="170" t="str">
        <x:v>No chest, shoulder, elbow or wrist pain; strong non-painful upper-biceps/arm pump likely pec-deck-related; exact side To verify</x:v>
      </x:c>
      <x:c r="J391" s="170" t="str">
        <x:v>Low final</x:v>
      </x:c>
      <x:c r="K391" s="170" t="str">
        <x:v>Good</x:v>
      </x:c>
      <x:c r="L391" s="170" t="str">
        <x:v>RIR-3 high-repetition set counted as meaningful fatigue, not preparation</x:v>
      </x:c>
      <x:c r="M391" s="170" t="str">
        <x:v>Working</x:v>
      </x:c>
      <x:c r="N391" s="170" t="n">
        <x:v>3</x:v>
      </x:c>
    </x:row>
    <x:row r="392">
      <x:c r="A392" s="220" t="n">
        <x:v>46259</x:v>
      </x:c>
      <x:c r="B392" s="170" t="str">
        <x:v>Chest</x:v>
      </x:c>
      <x:c r="C392" s="170" t="str">
        <x:v>Flat Bench Press</x:v>
      </x:c>
      <x:c r="D392" s="170" t="n">
        <x:v>2</x:v>
      </x:c>
      <x:c r="E392" s="170" t="n">
        <x:v>20</x:v>
      </x:c>
      <x:c r="F392" s="170" t="str">
        <x:v>kg plates each side; bar excluded</x:v>
      </x:c>
      <x:c r="G392" s="170" t="n">
        <x:v>10</x:v>
      </x:c>
      <x:c r="H392" s="170" t="str">
        <x:v>No assistance or technique breakdown reported; detailed form To verify</x:v>
      </x:c>
      <x:c r="I392" s="170" t="str">
        <x:v>No chest, shoulder, elbow or wrist pain; strong non-painful upper-biceps/arm pump likely pec-deck-related; exact side To verify</x:v>
      </x:c>
      <x:c r="J392" s="170" t="str">
        <x:v>Low final</x:v>
      </x:c>
      <x:c r="K392" s="170" t="str">
        <x:v>Good</x:v>
      </x:c>
      <x:c r="L392" s="170"/>
      <x:c r="M392" s="170" t="str">
        <x:v>Working</x:v>
      </x:c>
      <x:c r="N392" s="170" t="n">
        <x:v>2</x:v>
      </x:c>
    </x:row>
    <x:row r="393">
      <x:c r="A393" s="220" t="n">
        <x:v>46259</x:v>
      </x:c>
      <x:c r="B393" s="170" t="str">
        <x:v>Chest</x:v>
      </x:c>
      <x:c r="C393" s="170" t="str">
        <x:v>Flat Bench Press</x:v>
      </x:c>
      <x:c r="D393" s="170" t="n">
        <x:v>3</x:v>
      </x:c>
      <x:c r="E393" s="170" t="n">
        <x:v>20</x:v>
      </x:c>
      <x:c r="F393" s="170" t="str">
        <x:v>kg plates each side; bar excluded</x:v>
      </x:c>
      <x:c r="G393" s="170" t="n">
        <x:v>10</x:v>
      </x:c>
      <x:c r="H393" s="170" t="str">
        <x:v>Clean and unassisted; detailed bar path To verify</x:v>
      </x:c>
      <x:c r="I393" s="170" t="str">
        <x:v>No chest, shoulder, elbow or wrist pain; strong non-painful upper-biceps/arm pump likely pec-deck-related; exact side To verify</x:v>
      </x:c>
      <x:c r="J393" s="170" t="str">
        <x:v>Low final</x:v>
      </x:c>
      <x:c r="K393" s="170" t="str">
        <x:v>Good</x:v>
      </x:c>
      <x:c r="L393" s="170" t="str">
        <x:v>Repeated 20 kg set at target reserve</x:v>
      </x:c>
      <x:c r="M393" s="170" t="str">
        <x:v>Working</x:v>
      </x:c>
      <x:c r="N393" s="170" t="n">
        <x:v>2</x:v>
      </x:c>
    </x:row>
    <x:row r="394">
      <x:c r="A394" s="220" t="n">
        <x:v>46259</x:v>
      </x:c>
      <x:c r="B394" s="170" t="str">
        <x:v>Chest</x:v>
      </x:c>
      <x:c r="C394" s="170" t="str">
        <x:v>Flat Bench Press</x:v>
      </x:c>
      <x:c r="D394" s="170" t="n">
        <x:v>4</x:v>
      </x:c>
      <x:c r="E394" s="170" t="n">
        <x:v>22.5</x:v>
      </x:c>
      <x:c r="F394" s="170" t="str">
        <x:v>kg plates each side; bar excluded</x:v>
      </x:c>
      <x:c r="G394" s="170" t="n">
        <x:v>8</x:v>
      </x:c>
      <x:c r="H394" s="170" t="str">
        <x:v>Clean and unassisted; reached failure-level effort</x:v>
      </x:c>
      <x:c r="I394" s="170" t="str">
        <x:v>No chest, shoulder, elbow or wrist pain; strong non-painful upper-biceps/arm pump likely pec-deck-related; exact side To verify</x:v>
      </x:c>
      <x:c r="J394" s="170" t="str">
        <x:v>Low final</x:v>
      </x:c>
      <x:c r="K394" s="170" t="str">
        <x:v>Good</x:v>
      </x:c>
      <x:c r="L394" s="170" t="str">
        <x:v>Rep target reached at RIR 0; no progression credit and no load increase</x:v>
      </x:c>
      <x:c r="M394" s="170" t="str">
        <x:v>Working</x:v>
      </x:c>
      <x:c r="N394" s="170" t="n">
        <x:v>0</x:v>
      </x:c>
    </x:row>
    <x:row r="395">
      <x:c r="A395" s="220" t="n">
        <x:v>46259</x:v>
      </x:c>
      <x:c r="B395" s="170" t="str">
        <x:v>Chest</x:v>
      </x:c>
      <x:c r="C395" s="170" t="str">
        <x:v>Incline Barbell Bench Press</x:v>
      </x:c>
      <x:c r="D395" s="170" t="n">
        <x:v>1</x:v>
      </x:c>
      <x:c r="E395" s="170" t="n">
        <x:v>10</x:v>
      </x:c>
      <x:c r="F395" s="170" t="str">
        <x:v>kg plates each side; bar excluded</x:v>
      </x:c>
      <x:c r="G395" s="170" t="n">
        <x:v>15</x:v>
      </x:c>
      <x:c r="H395" s="170" t="str">
        <x:v>No assistance or technique breakdown reported; detailed form To verify</x:v>
      </x:c>
      <x:c r="I395" s="170" t="str">
        <x:v>No chest, shoulder, elbow or wrist pain; strong non-painful upper-biceps/arm pump likely pec-deck-related; exact side To verify</x:v>
      </x:c>
      <x:c r="J395" s="170" t="str">
        <x:v>Low final</x:v>
      </x:c>
      <x:c r="K395" s="170" t="str">
        <x:v>Good</x:v>
      </x:c>
      <x:c r="L395" s="170"/>
      <x:c r="M395" s="170" t="str">
        <x:v>Working</x:v>
      </x:c>
      <x:c r="N395" s="170" t="n">
        <x:v>2</x:v>
      </x:c>
    </x:row>
    <x:row r="396">
      <x:c r="A396" s="220" t="n">
        <x:v>46259</x:v>
      </x:c>
      <x:c r="B396" s="170" t="str">
        <x:v>Chest</x:v>
      </x:c>
      <x:c r="C396" s="170" t="str">
        <x:v>Incline Barbell Bench Press</x:v>
      </x:c>
      <x:c r="D396" s="170" t="n">
        <x:v>2</x:v>
      </x:c>
      <x:c r="E396" s="170" t="n">
        <x:v>12.5</x:v>
      </x:c>
      <x:c r="F396" s="170" t="str">
        <x:v>kg plates each side; bar excluded</x:v>
      </x:c>
      <x:c r="G396" s="170" t="n">
        <x:v>12</x:v>
      </x:c>
      <x:c r="H396" s="170" t="str">
        <x:v>No assistance or technique breakdown reported; detailed form To verify</x:v>
      </x:c>
      <x:c r="I396" s="170" t="str">
        <x:v>No chest, shoulder, elbow or wrist pain; strong non-painful upper-biceps/arm pump likely pec-deck-related; exact side To verify</x:v>
      </x:c>
      <x:c r="J396" s="170" t="str">
        <x:v>Low final</x:v>
      </x:c>
      <x:c r="K396" s="170" t="str">
        <x:v>Good</x:v>
      </x:c>
      <x:c r="L396" s="170"/>
      <x:c r="M396" s="170" t="str">
        <x:v>Working</x:v>
      </x:c>
      <x:c r="N396" s="170" t="n">
        <x:v>2</x:v>
      </x:c>
    </x:row>
    <x:row r="397">
      <x:c r="A397" s="220" t="n">
        <x:v>46259</x:v>
      </x:c>
      <x:c r="B397" s="170" t="str">
        <x:v>Chest</x:v>
      </x:c>
      <x:c r="C397" s="170" t="str">
        <x:v>Incline Barbell Bench Press</x:v>
      </x:c>
      <x:c r="D397" s="170" t="n">
        <x:v>3</x:v>
      </x:c>
      <x:c r="E397" s="170" t="n">
        <x:v>15</x:v>
      </x:c>
      <x:c r="F397" s="170" t="str">
        <x:v>kg plates each side; bar excluded</x:v>
      </x:c>
      <x:c r="G397" s="170" t="n">
        <x:v>10</x:v>
      </x:c>
      <x:c r="H397" s="170" t="str">
        <x:v>Clean and unassisted; controlled bar path To verify</x:v>
      </x:c>
      <x:c r="I397" s="170" t="str">
        <x:v>No chest, shoulder, elbow or wrist pain; strong non-painful upper-biceps/arm pump likely pec-deck-related; exact side To verify</x:v>
      </x:c>
      <x:c r="J397" s="170" t="str">
        <x:v>Low final</x:v>
      </x:c>
      <x:c r="K397" s="170" t="str">
        <x:v>Good</x:v>
      </x:c>
      <x:c r="L397" s="170" t="str">
        <x:v>Rep progression achieved; keep load and improve reserve across session</x:v>
      </x:c>
      <x:c r="M397" s="170" t="str">
        <x:v>Working</x:v>
      </x:c>
      <x:c r="N397" s="170" t="n">
        <x:v>2</x:v>
      </x:c>
    </x:row>
    <x:row r="398">
      <x:c r="A398" s="220" t="n">
        <x:v>46259</x:v>
      </x:c>
      <x:c r="B398" s="170" t="str">
        <x:v>Chest</x:v>
      </x:c>
      <x:c r="C398" s="170" t="str">
        <x:v>Plate Chest Press</x:v>
      </x:c>
      <x:c r="D398" s="170" t="n">
        <x:v>1</x:v>
      </x:c>
      <x:c r="E398" s="170" t="n">
        <x:v>30</x:v>
      </x:c>
      <x:c r="F398" s="170" t="str">
        <x:v>kg plates each side</x:v>
      </x:c>
      <x:c r="G398" s="170" t="n">
        <x:v>15</x:v>
      </x:c>
      <x:c r="H398" s="170" t="str">
        <x:v>No assistance or technique breakdown reported; detailed form To verify</x:v>
      </x:c>
      <x:c r="I398" s="170" t="str">
        <x:v>No chest, shoulder, elbow or wrist pain; strong non-painful upper-biceps/arm pump likely pec-deck-related; exact side To verify</x:v>
      </x:c>
      <x:c r="J398" s="170" t="str">
        <x:v>Low final</x:v>
      </x:c>
      <x:c r="K398" s="170" t="str">
        <x:v>Good</x:v>
      </x:c>
      <x:c r="L398" s="170"/>
      <x:c r="M398" s="170" t="str">
        <x:v>Working</x:v>
      </x:c>
      <x:c r="N398" s="170" t="n">
        <x:v>3</x:v>
      </x:c>
    </x:row>
    <x:row r="399">
      <x:c r="A399" s="220" t="n">
        <x:v>46259</x:v>
      </x:c>
      <x:c r="B399" s="170" t="str">
        <x:v>Chest</x:v>
      </x:c>
      <x:c r="C399" s="170" t="str">
        <x:v>Plate Chest Press</x:v>
      </x:c>
      <x:c r="D399" s="170" t="n">
        <x:v>2</x:v>
      </x:c>
      <x:c r="E399" s="170" t="n">
        <x:v>40</x:v>
      </x:c>
      <x:c r="F399" s="170" t="str">
        <x:v>kg plates each side</x:v>
      </x:c>
      <x:c r="G399" s="170" t="n">
        <x:v>12</x:v>
      </x:c>
      <x:c r="H399" s="170" t="str">
        <x:v>Clean and unassisted; controlled eccentric To verify</x:v>
      </x:c>
      <x:c r="I399" s="170" t="str">
        <x:v>No chest, shoulder, elbow or wrist pain; strong non-painful upper-biceps/arm pump likely pec-deck-related; exact side To verify</x:v>
      </x:c>
      <x:c r="J399" s="170" t="str">
        <x:v>Low final</x:v>
      </x:c>
      <x:c r="K399" s="170" t="str">
        <x:v>Good</x:v>
      </x:c>
      <x:c r="L399" s="170" t="str">
        <x:v>Exceeded repetition target</x:v>
      </x:c>
      <x:c r="M399" s="170" t="str">
        <x:v>Working</x:v>
      </x:c>
      <x:c r="N399" s="170" t="n">
        <x:v>2</x:v>
      </x:c>
    </x:row>
    <x:row r="400">
      <x:c r="A400" s="220" t="n">
        <x:v>46259</x:v>
      </x:c>
      <x:c r="B400" s="170" t="str">
        <x:v>Chest</x:v>
      </x:c>
      <x:c r="C400" s="170" t="str">
        <x:v>Plate Chest Press</x:v>
      </x:c>
      <x:c r="D400" s="170" t="n">
        <x:v>3</x:v>
      </x:c>
      <x:c r="E400" s="170" t="n">
        <x:v>50</x:v>
      </x:c>
      <x:c r="F400" s="170" t="str">
        <x:v>kg plates each side</x:v>
      </x:c>
      <x:c r="G400" s="170" t="n">
        <x:v>8</x:v>
      </x:c>
      <x:c r="H400" s="170" t="str">
        <x:v>Clean and unassisted; controlled eccentric To verify</x:v>
      </x:c>
      <x:c r="I400" s="170" t="str">
        <x:v>No chest, shoulder, elbow or wrist pain; strong non-painful upper-biceps/arm pump likely pec-deck-related; exact side To verify</x:v>
      </x:c>
      <x:c r="J400" s="170" t="str">
        <x:v>Low final</x:v>
      </x:c>
      <x:c r="K400" s="170" t="str">
        <x:v>Good</x:v>
      </x:c>
      <x:c r="L400" s="170" t="str">
        <x:v>Unplanned third set and load jump; retained as fatigue; no progression credit</x:v>
      </x:c>
      <x:c r="M400" s="170" t="str">
        <x:v>Working</x:v>
      </x:c>
      <x:c r="N400" s="170" t="n">
        <x:v>1</x:v>
      </x:c>
    </x:row>
    <x:row r="401">
      <x:c r="A401" s="220" t="n">
        <x:v>46259</x:v>
      </x:c>
      <x:c r="B401" s="170" t="str">
        <x:v>Chest</x:v>
      </x:c>
      <x:c r="C401" s="170" t="str">
        <x:v>Pec Deck Fly</x:v>
      </x:c>
      <x:c r="D401" s="170" t="n">
        <x:v>1</x:v>
      </x:c>
      <x:c r="E401" s="170" t="n">
        <x:v>50</x:v>
      </x:c>
      <x:c r="F401" s="170" t="str">
        <x:v>kg total stack</x:v>
      </x:c>
      <x:c r="G401" s="170" t="n">
        <x:v>12</x:v>
      </x:c>
      <x:c r="H401" s="170" t="str">
        <x:v>Strong upper-biceps/arm pump later attributed to pec deck; non-painful; exact side To verify</x:v>
      </x:c>
      <x:c r="I401" s="170" t="str">
        <x:v>No chest, shoulder, elbow or wrist pain; strong non-painful upper-biceps/arm pump likely pec-deck-related; exact side To verify</x:v>
      </x:c>
      <x:c r="J401" s="170" t="str">
        <x:v>Low final</x:v>
      </x:c>
      <x:c r="K401" s="170" t="str">
        <x:v>Good</x:v>
      </x:c>
      <x:c r="L401" s="170" t="str">
        <x:v>Use relaxed grip and elbow-driven arc next time</x:v>
      </x:c>
      <x:c r="M401" s="170" t="str">
        <x:v>Working</x:v>
      </x:c>
      <x:c r="N401" s="170" t="n">
        <x:v>3</x:v>
      </x:c>
    </x:row>
    <x:row r="402">
      <x:c r="A402" s="220" t="n">
        <x:v>46259</x:v>
      </x:c>
      <x:c r="B402" s="170" t="str">
        <x:v>Chest</x:v>
      </x:c>
      <x:c r="C402" s="170" t="str">
        <x:v>Pec Deck Fly</x:v>
      </x:c>
      <x:c r="D402" s="170" t="n">
        <x:v>2</x:v>
      </x:c>
      <x:c r="E402" s="170" t="n">
        <x:v>55</x:v>
      </x:c>
      <x:c r="F402" s="170" t="str">
        <x:v>kg total stack</x:v>
      </x:c>
      <x:c r="G402" s="170" t="n">
        <x:v>12</x:v>
      </x:c>
      <x:c r="H402" s="170" t="str">
        <x:v>Strong upper-biceps/arm pump later attributed to pec deck; non-painful; exact side To verify</x:v>
      </x:c>
      <x:c r="I402" s="170" t="str">
        <x:v>No chest, shoulder, elbow or wrist pain; strong non-painful upper-biceps/arm pump likely pec-deck-related; exact side To verify</x:v>
      </x:c>
      <x:c r="J402" s="170" t="str">
        <x:v>Low final</x:v>
      </x:c>
      <x:c r="K402" s="170" t="str">
        <x:v>Good</x:v>
      </x:c>
      <x:c r="L402" s="170"/>
      <x:c r="M402" s="170" t="str">
        <x:v>Working</x:v>
      </x:c>
      <x:c r="N402" s="170" t="n">
        <x:v>2</x:v>
      </x:c>
    </x:row>
    <x:row r="403">
      <x:c r="A403" s="220" t="n">
        <x:v>46259</x:v>
      </x:c>
      <x:c r="B403" s="170" t="str">
        <x:v>Chest</x:v>
      </x:c>
      <x:c r="C403" s="170" t="str">
        <x:v>Pec Deck Fly</x:v>
      </x:c>
      <x:c r="D403" s="170" t="n">
        <x:v>3</x:v>
      </x:c>
      <x:c r="E403" s="170" t="n">
        <x:v>60</x:v>
      </x:c>
      <x:c r="F403" s="170" t="str">
        <x:v>kg total stack</x:v>
      </x:c>
      <x:c r="G403" s="170" t="n">
        <x:v>11</x:v>
      </x:c>
      <x:c r="H403" s="170" t="str">
        <x:v>Strong upper-biceps/arm pump later attributed to pec deck; non-painful; exact side To verify</x:v>
      </x:c>
      <x:c r="I403" s="170" t="str">
        <x:v>No chest, shoulder, elbow or wrist pain; strong non-painful upper-biceps/arm pump likely pec-deck-related; exact side To verify</x:v>
      </x:c>
      <x:c r="J403" s="170" t="str">
        <x:v>Low final</x:v>
      </x:c>
      <x:c r="K403" s="170" t="str">
        <x:v>Good</x:v>
      </x:c>
      <x:c r="L403" s="170" t="str">
        <x:v>Unplanned third set; omit 60 kg next time; no progression credit</x:v>
      </x:c>
      <x:c r="M403" s="170" t="str">
        <x:v>Working</x:v>
      </x:c>
      <x:c r="N403" s="170" t="n">
        <x:v>1</x:v>
      </x:c>
    </x:row>
    <x:row r="404">
      <x:c r="A404" s="220" t="n">
        <x:v>46259</x:v>
      </x:c>
      <x:c r="B404" s="170" t="str">
        <x:v>Triceps</x:v>
      </x:c>
      <x:c r="C404" s="170" t="str">
        <x:v>Straight-Bar Pushdown</x:v>
      </x:c>
      <x:c r="D404" s="170" t="n">
        <x:v>1</x:v>
      </x:c>
      <x:c r="E404" s="170" t="n">
        <x:v>45</x:v>
      </x:c>
      <x:c r="F404" s="170" t="str">
        <x:v>kg total stack</x:v>
      </x:c>
      <x:c r="G404" s="170" t="n">
        <x:v>12</x:v>
      </x:c>
      <x:c r="H404" s="170" t="str">
        <x:v>Genuine preparation set; elbows fixed; no assistance</x:v>
      </x:c>
      <x:c r="I404" s="170" t="str">
        <x:v>No chest, shoulder, elbow or wrist pain; strong non-painful upper-biceps/arm pump likely pec-deck-related; exact side To verify</x:v>
      </x:c>
      <x:c r="J404" s="170" t="str">
        <x:v>Low final</x:v>
      </x:c>
      <x:c r="K404" s="170" t="str">
        <x:v>Good</x:v>
      </x:c>
      <x:c r="L404" s="170" t="str">
        <x:v>Excluded from meaningful-set total</x:v>
      </x:c>
      <x:c r="M404" s="170" t="str">
        <x:v>Warm-up</x:v>
      </x:c>
      <x:c r="N404" s="170" t="n">
        <x:v>4</x:v>
      </x:c>
    </x:row>
    <x:row r="405">
      <x:c r="A405" s="220" t="n">
        <x:v>46259</x:v>
      </x:c>
      <x:c r="B405" s="170" t="str">
        <x:v>Triceps</x:v>
      </x:c>
      <x:c r="C405" s="170" t="str">
        <x:v>Straight-Bar Pushdown</x:v>
      </x:c>
      <x:c r="D405" s="170" t="n">
        <x:v>2</x:v>
      </x:c>
      <x:c r="E405" s="170" t="n">
        <x:v>50</x:v>
      </x:c>
      <x:c r="F405" s="170" t="str">
        <x:v>kg total stack</x:v>
      </x:c>
      <x:c r="G405" s="170" t="n">
        <x:v>13</x:v>
      </x:c>
      <x:c r="H405" s="170" t="str">
        <x:v>No assistance or technique breakdown reported; detailed form To verify</x:v>
      </x:c>
      <x:c r="I405" s="170" t="str">
        <x:v>No chest, shoulder, elbow or wrist pain; strong non-painful upper-biceps/arm pump likely pec-deck-related; exact side To verify</x:v>
      </x:c>
      <x:c r="J405" s="170" t="str">
        <x:v>Low final</x:v>
      </x:c>
      <x:c r="K405" s="170" t="str">
        <x:v>Good</x:v>
      </x:c>
      <x:c r="L405" s="170"/>
      <x:c r="M405" s="170" t="str">
        <x:v>Working</x:v>
      </x:c>
      <x:c r="N405" s="170" t="n">
        <x:v>2</x:v>
      </x:c>
    </x:row>
    <x:row r="406">
      <x:c r="A406" s="220" t="n">
        <x:v>46259</x:v>
      </x:c>
      <x:c r="B406" s="170" t="str">
        <x:v>Triceps</x:v>
      </x:c>
      <x:c r="C406" s="170" t="str">
        <x:v>Straight-Bar Pushdown</x:v>
      </x:c>
      <x:c r="D406" s="170" t="n">
        <x:v>3</x:v>
      </x:c>
      <x:c r="E406" s="170" t="n">
        <x:v>55</x:v>
      </x:c>
      <x:c r="F406" s="170" t="str">
        <x:v>kg total stack</x:v>
      </x:c>
      <x:c r="G406" s="170" t="n">
        <x:v>11</x:v>
      </x:c>
      <x:c r="H406" s="170" t="str">
        <x:v>Clean and unassisted; elbows fixed To verify</x:v>
      </x:c>
      <x:c r="I406" s="170" t="str">
        <x:v>No chest, shoulder, elbow or wrist pain; strong non-painful upper-biceps/arm pump likely pec-deck-related; exact side To verify</x:v>
      </x:c>
      <x:c r="J406" s="170" t="str">
        <x:v>Low final</x:v>
      </x:c>
      <x:c r="K406" s="170" t="str">
        <x:v>Good</x:v>
      </x:c>
      <x:c r="L406" s="170" t="str">
        <x:v>Harder than RIR-2 target; keep load</x:v>
      </x:c>
      <x:c r="M406" s="170" t="str">
        <x:v>Working</x:v>
      </x:c>
      <x:c r="N406" s="170" t="n">
        <x:v>1</x:v>
      </x:c>
    </x:row>
    <x:row r="407">
      <x:c r="A407" s="220" t="n">
        <x:v>46259</x:v>
      </x:c>
      <x:c r="B407" s="170" t="str">
        <x:v>Triceps</x:v>
      </x:c>
      <x:c r="C407" s="170" t="str">
        <x:v>Straight-Bar Pushdown</x:v>
      </x:c>
      <x:c r="D407" s="170" t="n">
        <x:v>4</x:v>
      </x:c>
      <x:c r="E407" s="170" t="n">
        <x:v>60</x:v>
      </x:c>
      <x:c r="F407" s="170" t="str">
        <x:v>kg total stack</x:v>
      </x:c>
      <x:c r="G407" s="170" t="n">
        <x:v>9</x:v>
      </x:c>
      <x:c r="H407" s="170" t="str">
        <x:v>Clean and unassisted; elbows fixed To verify</x:v>
      </x:c>
      <x:c r="I407" s="170" t="str">
        <x:v>No chest, shoulder, elbow or wrist pain; strong non-painful upper-biceps/arm pump likely pec-deck-related; exact side To verify</x:v>
      </x:c>
      <x:c r="J407" s="170" t="str">
        <x:v>Low final</x:v>
      </x:c>
      <x:c r="K407" s="170" t="str">
        <x:v>Good</x:v>
      </x:c>
      <x:c r="L407" s="170" t="str">
        <x:v>Matched reps but missed RIR-2 target; keep load</x:v>
      </x:c>
      <x:c r="M407" s="170" t="str">
        <x:v>Working</x:v>
      </x:c>
      <x:c r="N407" s="170" t="n">
        <x:v>1</x:v>
      </x:c>
    </x:row>
    <x:row r="408">
      <x:c r="A408" s="220" t="n">
        <x:v>46259</x:v>
      </x:c>
      <x:c r="B408" s="170" t="str">
        <x:v>Triceps</x:v>
      </x:c>
      <x:c r="C408" s="170" t="str">
        <x:v>Overhead Rope Extension</x:v>
      </x:c>
      <x:c r="D408" s="170" t="n">
        <x:v>1</x:v>
      </x:c>
      <x:c r="E408" s="170" t="n">
        <x:v>30</x:v>
      </x:c>
      <x:c r="F408" s="170" t="str">
        <x:v>kg total stack</x:v>
      </x:c>
      <x:c r="G408" s="170" t="n">
        <x:v>11</x:v>
      </x:c>
      <x:c r="H408" s="170" t="str">
        <x:v>Reported clean; no assistance or technique breakdown</x:v>
      </x:c>
      <x:c r="I408" s="170" t="str">
        <x:v>No chest, shoulder, elbow or wrist pain; strong non-painful upper-biceps/arm pump likely pec-deck-related; exact side To verify</x:v>
      </x:c>
      <x:c r="J408" s="170" t="str">
        <x:v>Low final</x:v>
      </x:c>
      <x:c r="K408" s="170" t="str">
        <x:v>Good</x:v>
      </x:c>
      <x:c r="L408" s="170"/>
      <x:c r="M408" s="170" t="str">
        <x:v>Working</x:v>
      </x:c>
      <x:c r="N408" s="170" t="n">
        <x:v>2</x:v>
      </x:c>
    </x:row>
    <x:row r="409">
      <x:c r="A409" s="220" t="n">
        <x:v>46259</x:v>
      </x:c>
      <x:c r="B409" s="170" t="str">
        <x:v>Triceps</x:v>
      </x:c>
      <x:c r="C409" s="170" t="str">
        <x:v>Overhead Rope Extension</x:v>
      </x:c>
      <x:c r="D409" s="170" t="n">
        <x:v>2</x:v>
      </x:c>
      <x:c r="E409" s="170" t="n">
        <x:v>40</x:v>
      </x:c>
      <x:c r="F409" s="170" t="str">
        <x:v>kg total stack</x:v>
      </x:c>
      <x:c r="G409" s="170" t="n">
        <x:v>9</x:v>
      </x:c>
      <x:c r="H409" s="170" t="str">
        <x:v>Reported clean; no assistance or technique breakdown</x:v>
      </x:c>
      <x:c r="I409" s="170" t="str">
        <x:v>No chest, shoulder, elbow or wrist pain; strong non-painful upper-biceps/arm pump likely pec-deck-related; exact side To verify</x:v>
      </x:c>
      <x:c r="J409" s="170" t="str">
        <x:v>Low final</x:v>
      </x:c>
      <x:c r="K409" s="170" t="str">
        <x:v>Good</x:v>
      </x:c>
      <x:c r="L409" s="170" t="str">
        <x:v>40 kg used instead of prescribed 35 kg</x:v>
      </x:c>
      <x:c r="M409" s="170" t="str">
        <x:v>Working</x:v>
      </x:c>
      <x:c r="N409" s="170" t="n">
        <x:v>2</x:v>
      </x:c>
    </x:row>
    <x:row r="410">
      <x:c r="A410" s="220" t="n">
        <x:v>46259</x:v>
      </x:c>
      <x:c r="B410" s="170" t="str">
        <x:v>Triceps</x:v>
      </x:c>
      <x:c r="C410" s="170" t="str">
        <x:v>Overhead Rope Extension</x:v>
      </x:c>
      <x:c r="D410" s="170" t="n">
        <x:v>3</x:v>
      </x:c>
      <x:c r="E410" s="170" t="n">
        <x:v>45</x:v>
      </x:c>
      <x:c r="F410" s="170" t="str">
        <x:v>kg total stack</x:v>
      </x:c>
      <x:c r="G410" s="170" t="n">
        <x:v>7</x:v>
      </x:c>
      <x:c r="H410" s="170" t="str">
        <x:v>Reported clean; no assistance or technique breakdown</x:v>
      </x:c>
      <x:c r="I410" s="170" t="str">
        <x:v>No chest, shoulder, elbow or wrist pain; strong non-painful upper-biceps/arm pump likely pec-deck-related; exact side To verify</x:v>
      </x:c>
      <x:c r="J410" s="170" t="str">
        <x:v>Low final</x:v>
      </x:c>
      <x:c r="K410" s="170" t="str">
        <x:v>Good</x:v>
      </x:c>
      <x:c r="L410" s="170" t="str">
        <x:v>Unplanned third set after explicit two-set limit; no progression credit</x:v>
      </x:c>
      <x:c r="M410" s="170" t="str">
        <x:v>Working</x:v>
      </x:c>
      <x:c r="N410" s="170" t="n">
        <x:v>1</x:v>
      </x:c>
    </x:row>
    <x:row r="411">
      <x:c r="A411" s="220" t="n">
        <x:v>46260</x:v>
      </x:c>
      <x:c r="B411" s="170" t="str">
        <x:v>Shoulders</x:v>
      </x:c>
      <x:c r="C411" s="170" t="str">
        <x:v>Dumbbell Shoulder Press</x:v>
      </x:c>
      <x:c r="D411" s="170" t="n">
        <x:v>1</x:v>
      </x:c>
      <x:c r="E411" s="170" t="n">
        <x:v>15</x:v>
      </x:c>
      <x:c r="F411" s="170" t="str">
        <x:v>kg each dumbbell</x:v>
      </x:c>
      <x:c r="G411" s="170" t="n">
        <x:v>16</x:v>
      </x:c>
      <x:c r="H411" s="170" t="str">
        <x:v>Reported very easy; clean and unassisted</x:v>
      </x:c>
      <x:c r="I411" s="170" t="str">
        <x:v>No shoulder, elbow, wrist, biceps or other pain; prior upper-biceps pump resolved</x:v>
      </x:c>
      <x:c r="J411" s="170" t="str">
        <x:v>Low final</x:v>
      </x:c>
      <x:c r="K411" s="170" t="str">
        <x:v>Good</x:v>
      </x:c>
      <x:c r="L411" s="170" t="str">
        <x:v>Genuine warm-up; excluded from working-set total</x:v>
      </x:c>
      <x:c r="M411" s="170" t="str">
        <x:v>Warm-up</x:v>
      </x:c>
      <x:c r="N411" s="170" t="n">
        <x:v>4</x:v>
      </x:c>
    </x:row>
    <x:row r="412">
      <x:c r="A412" s="220" t="n">
        <x:v>46260</x:v>
      </x:c>
      <x:c r="B412" s="170" t="str">
        <x:v>Shoulders</x:v>
      </x:c>
      <x:c r="C412" s="170" t="str">
        <x:v>Dumbbell Shoulder Press</x:v>
      </x:c>
      <x:c r="D412" s="170" t="n">
        <x:v>2</x:v>
      </x:c>
      <x:c r="E412" s="170" t="n">
        <x:v>17.5</x:v>
      </x:c>
      <x:c r="F412" s="170" t="str">
        <x:v>kg each dumbbell</x:v>
      </x:c>
      <x:c r="G412" s="170" t="n">
        <x:v>14</x:v>
      </x:c>
      <x:c r="H412" s="170" t="str">
        <x:v>Clean and unassisted</x:v>
      </x:c>
      <x:c r="I412" s="170" t="str">
        <x:v>No shoulder, elbow, wrist, biceps or other pain; prior upper-biceps pump resolved</x:v>
      </x:c>
      <x:c r="J412" s="170" t="str">
        <x:v>Low final</x:v>
      </x:c>
      <x:c r="K412" s="170" t="str">
        <x:v>Good</x:v>
      </x:c>
      <x:c r="L412" s="170" t="str">
        <x:v>Rep progression achieved</x:v>
      </x:c>
      <x:c r="M412" s="170" t="str">
        <x:v>Working</x:v>
      </x:c>
      <x:c r="N412" s="170" t="n">
        <x:v>2</x:v>
      </x:c>
    </x:row>
    <x:row r="413">
      <x:c r="A413" s="220" t="n">
        <x:v>46260</x:v>
      </x:c>
      <x:c r="B413" s="170" t="str">
        <x:v>Shoulders</x:v>
      </x:c>
      <x:c r="C413" s="170" t="str">
        <x:v>Dumbbell Shoulder Press</x:v>
      </x:c>
      <x:c r="D413" s="170" t="n">
        <x:v>3</x:v>
      </x:c>
      <x:c r="E413" s="170" t="n">
        <x:v>20</x:v>
      </x:c>
      <x:c r="F413" s="170" t="str">
        <x:v>kg each dumbbell</x:v>
      </x:c>
      <x:c r="G413" s="170" t="n">
        <x:v>12</x:v>
      </x:c>
      <x:c r="H413" s="170" t="str">
        <x:v>Clean and unassisted</x:v>
      </x:c>
      <x:c r="I413" s="170" t="str">
        <x:v>No shoulder, elbow, wrist, biceps or other pain; prior upper-biceps pump resolved</x:v>
      </x:c>
      <x:c r="J413" s="170" t="str">
        <x:v>Low final</x:v>
      </x:c>
      <x:c r="K413" s="170" t="str">
        <x:v>Good</x:v>
      </x:c>
      <x:c r="L413" s="170" t="str">
        <x:v>Two-repetition progression at matched reserve</x:v>
      </x:c>
      <x:c r="M413" s="170" t="str">
        <x:v>Working</x:v>
      </x:c>
      <x:c r="N413" s="170" t="n">
        <x:v>2</x:v>
      </x:c>
    </x:row>
    <x:row r="414">
      <x:c r="A414" s="220" t="n">
        <x:v>46260</x:v>
      </x:c>
      <x:c r="B414" s="170" t="str">
        <x:v>Shoulders</x:v>
      </x:c>
      <x:c r="C414" s="170" t="str">
        <x:v>Dumbbell Shoulder Press</x:v>
      </x:c>
      <x:c r="D414" s="170" t="n">
        <x:v>4</x:v>
      </x:c>
      <x:c r="E414" s="170" t="n">
        <x:v>22.5</x:v>
      </x:c>
      <x:c r="F414" s="170" t="str">
        <x:v>kg each dumbbell</x:v>
      </x:c>
      <x:c r="G414" s="170" t="n">
        <x:v>9</x:v>
      </x:c>
      <x:c r="H414" s="170" t="str">
        <x:v>Clean and unassisted</x:v>
      </x:c>
      <x:c r="I414" s="170" t="str">
        <x:v>No shoulder, elbow, wrist, biceps or other pain; prior upper-biceps pump resolved</x:v>
      </x:c>
      <x:c r="J414" s="170" t="str">
        <x:v>Low final</x:v>
      </x:c>
      <x:c r="K414" s="170" t="str">
        <x:v>Good</x:v>
      </x:c>
      <x:c r="L414" s="170" t="str">
        <x:v>One-repetition progression with improved reserve</x:v>
      </x:c>
      <x:c r="M414" s="170" t="str">
        <x:v>Working</x:v>
      </x:c>
      <x:c r="N414" s="170" t="n">
        <x:v>2</x:v>
      </x:c>
    </x:row>
    <x:row r="415">
      <x:c r="A415" s="220" t="n">
        <x:v>46260</x:v>
      </x:c>
      <x:c r="B415" s="170" t="str">
        <x:v>Shoulders</x:v>
      </x:c>
      <x:c r="C415" s="170" t="str">
        <x:v>Dumbbell Shoulder Press</x:v>
      </x:c>
      <x:c r="D415" s="170" t="n">
        <x:v>5</x:v>
      </x:c>
      <x:c r="E415" s="170" t="n">
        <x:v>25</x:v>
      </x:c>
      <x:c r="F415" s="170" t="str">
        <x:v>kg each dumbbell</x:v>
      </x:c>
      <x:c r="G415" s="170" t="n">
        <x:v>8</x:v>
      </x:c>
      <x:c r="H415" s="170" t="str">
        <x:v>Confirmed clean and pain-free; no assistance or breakdown</x:v>
      </x:c>
      <x:c r="I415" s="170" t="str">
        <x:v>No shoulder, elbow, wrist, biceps or other pain; prior upper-biceps pump resolved</x:v>
      </x:c>
      <x:c r="J415" s="170" t="str">
        <x:v>Low final</x:v>
      </x:c>
      <x:c r="K415" s="170" t="str">
        <x:v>Good</x:v>
      </x:c>
      <x:c r="L415" s="170" t="str">
        <x:v>Unplanned fourth working set; retained as fatigue; no independent progression credit</x:v>
      </x:c>
      <x:c r="M415" s="170" t="str">
        <x:v>Working</x:v>
      </x:c>
      <x:c r="N415" s="170" t="n">
        <x:v>1</x:v>
      </x:c>
    </x:row>
    <x:row r="416">
      <x:c r="A416" s="220" t="n">
        <x:v>46260</x:v>
      </x:c>
      <x:c r="B416" s="170" t="str">
        <x:v>Shoulders</x:v>
      </x:c>
      <x:c r="C416" s="170" t="str">
        <x:v>Plate-Loaded Lateral Raise Machine</x:v>
      </x:c>
      <x:c r="D416" s="170" t="n">
        <x:v>1</x:v>
      </x:c>
      <x:c r="E416" s="170" t="n">
        <x:v>2.5</x:v>
      </x:c>
      <x:c r="F416" s="170" t="str">
        <x:v>kg plates each side; unloaded resistance excluded and To verify</x:v>
      </x:c>
      <x:c r="G416" s="170" t="n">
        <x:v>18</x:v>
      </x:c>
      <x:c r="H416" s="170" t="str">
        <x:v>No assistance or breakdown; detailed arm path To verify</x:v>
      </x:c>
      <x:c r="I416" s="170" t="str">
        <x:v>No shoulder, elbow, wrist, biceps or other pain; prior upper-biceps pump resolved</x:v>
      </x:c>
      <x:c r="J416" s="170" t="str">
        <x:v>Low final</x:v>
      </x:c>
      <x:c r="K416" s="170" t="str">
        <x:v>Good</x:v>
      </x:c>
      <x:c r="L416" s="170" t="str">
        <x:v>Easy working set; counts toward the 18-set ceiling</x:v>
      </x:c>
      <x:c r="M416" s="170" t="str">
        <x:v>Working</x:v>
      </x:c>
      <x:c r="N416" s="170" t="n">
        <x:v>4</x:v>
      </x:c>
    </x:row>
    <x:row r="417">
      <x:c r="A417" s="220" t="n">
        <x:v>46260</x:v>
      </x:c>
      <x:c r="B417" s="170" t="str">
        <x:v>Shoulders</x:v>
      </x:c>
      <x:c r="C417" s="170" t="str">
        <x:v>Plate-Loaded Lateral Raise Machine</x:v>
      </x:c>
      <x:c r="D417" s="170" t="n">
        <x:v>2</x:v>
      </x:c>
      <x:c r="E417" s="170" t="n">
        <x:v>5</x:v>
      </x:c>
      <x:c r="F417" s="170" t="str">
        <x:v>kg plates each side; unloaded resistance excluded and To verify</x:v>
      </x:c>
      <x:c r="G417" s="170" t="n">
        <x:v>15</x:v>
      </x:c>
      <x:c r="H417" s="170" t="str">
        <x:v>No assistance or breakdown; detailed arm path To verify</x:v>
      </x:c>
      <x:c r="I417" s="170" t="str">
        <x:v>No shoulder, elbow, wrist, biceps or other pain; prior upper-biceps pump resolved</x:v>
      </x:c>
      <x:c r="J417" s="170" t="str">
        <x:v>Low final</x:v>
      </x:c>
      <x:c r="K417" s="170" t="str">
        <x:v>Good</x:v>
      </x:c>
      <x:c r="L417" s="170" t="str">
        <x:v>Rep progression from prior 12-rep baseline</x:v>
      </x:c>
      <x:c r="M417" s="170" t="str">
        <x:v>Working</x:v>
      </x:c>
      <x:c r="N417" s="170" t="n">
        <x:v>2</x:v>
      </x:c>
    </x:row>
    <x:row r="418">
      <x:c r="A418" s="220" t="n">
        <x:v>46260</x:v>
      </x:c>
      <x:c r="B418" s="170" t="str">
        <x:v>Shoulders</x:v>
      </x:c>
      <x:c r="C418" s="170" t="str">
        <x:v>Plate-Loaded Lateral Raise Machine</x:v>
      </x:c>
      <x:c r="D418" s="170" t="n">
        <x:v>3</x:v>
      </x:c>
      <x:c r="E418" s="170" t="n">
        <x:v>5</x:v>
      </x:c>
      <x:c r="F418" s="170" t="str">
        <x:v>kg plates each side; unloaded resistance excluded and To verify</x:v>
      </x:c>
      <x:c r="G418" s="170" t="n">
        <x:v>15</x:v>
      </x:c>
      <x:c r="H418" s="170" t="str">
        <x:v>No assistance or breakdown; detailed arm path To verify</x:v>
      </x:c>
      <x:c r="I418" s="170" t="str">
        <x:v>No shoulder, elbow, wrist, biceps or other pain; prior upper-biceps pump resolved</x:v>
      </x:c>
      <x:c r="J418" s="170" t="str">
        <x:v>Low final</x:v>
      </x:c>
      <x:c r="K418" s="170" t="str">
        <x:v>Good</x:v>
      </x:c>
      <x:c r="L418" s="170" t="str">
        <x:v>Repeated progressed set cleanly</x:v>
      </x:c>
      <x:c r="M418" s="170" t="str">
        <x:v>Working</x:v>
      </x:c>
      <x:c r="N418" s="170" t="n">
        <x:v>2</x:v>
      </x:c>
    </x:row>
    <x:row r="419">
      <x:c r="A419" s="220" t="n">
        <x:v>46260</x:v>
      </x:c>
      <x:c r="B419" s="170" t="str">
        <x:v>Shoulders</x:v>
      </x:c>
      <x:c r="C419" s="170" t="str">
        <x:v>Experimental Rear-Delt Lateral-Raise Machine</x:v>
      </x:c>
      <x:c r="D419" s="170" t="n">
        <x:v>1</x:v>
      </x:c>
      <x:c r="E419" s="170" t="n">
        <x:v>2.5</x:v>
      </x:c>
      <x:c r="F419" s="170" t="str">
        <x:v>kg plates each side; exact reverse-facing setup/path To verify</x:v>
      </x:c>
      <x:c r="G419" s="170" t="n">
        <x:v>14</x:v>
      </x:c>
      <x:c r="H419" s="170" t="str">
        <x:v>Reverse-facing rear-delt variation; no pain or breakdown; exact setup/path To verify</x:v>
      </x:c>
      <x:c r="I419" s="170" t="str">
        <x:v>No shoulder, elbow, wrist, biceps or other pain; prior upper-biceps pump resolved</x:v>
      </x:c>
      <x:c r="J419" s="170" t="str">
        <x:v>Low final</x:v>
      </x:c>
      <x:c r="K419" s="170" t="str">
        <x:v>Good</x:v>
      </x:c>
      <x:c r="L419" s="170" t="str">
        <x:v>Replaced reverse pec deck today; counts as rear-delt working fatigue</x:v>
      </x:c>
      <x:c r="M419" s="170" t="str">
        <x:v>Working</x:v>
      </x:c>
      <x:c r="N419" s="170" t="n">
        <x:v>2</x:v>
      </x:c>
    </x:row>
    <x:row r="420">
      <x:c r="A420" s="220" t="n">
        <x:v>46260</x:v>
      </x:c>
      <x:c r="B420" s="170" t="str">
        <x:v>Shoulders</x:v>
      </x:c>
      <x:c r="C420" s="170" t="str">
        <x:v>Experimental Rear-Delt Lateral-Raise Machine</x:v>
      </x:c>
      <x:c r="D420" s="170" t="n">
        <x:v>2</x:v>
      </x:c>
      <x:c r="E420" s="170" t="n">
        <x:v>2.5</x:v>
      </x:c>
      <x:c r="F420" s="170" t="str">
        <x:v>kg plates each side; exact reverse-facing setup/path To verify</x:v>
      </x:c>
      <x:c r="G420" s="170" t="n">
        <x:v>14</x:v>
      </x:c>
      <x:c r="H420" s="170" t="str">
        <x:v>Reverse-facing rear-delt variation; no pain or breakdown; exact setup/path To verify</x:v>
      </x:c>
      <x:c r="I420" s="170" t="str">
        <x:v>No shoulder, elbow, wrist, biceps or other pain; prior upper-biceps pump resolved</x:v>
      </x:c>
      <x:c r="J420" s="170" t="str">
        <x:v>Low final</x:v>
      </x:c>
      <x:c r="K420" s="170" t="str">
        <x:v>Good</x:v>
      </x:c>
      <x:c r="L420" s="170" t="str">
        <x:v>Do not combine with reverse pec deck in the active sequence</x:v>
      </x:c>
      <x:c r="M420" s="170" t="str">
        <x:v>Working</x:v>
      </x:c>
      <x:c r="N420" s="170" t="n">
        <x:v>2</x:v>
      </x:c>
    </x:row>
    <x:row r="421">
      <x:c r="A421" s="220" t="n">
        <x:v>46260</x:v>
      </x:c>
      <x:c r="B421" s="170" t="str">
        <x:v>Shoulders</x:v>
      </x:c>
      <x:c r="C421" s="170" t="str">
        <x:v>Cable Upright Row</x:v>
      </x:c>
      <x:c r="D421" s="170" t="n">
        <x:v>1</x:v>
      </x:c>
      <x:c r="E421" s="170" t="n">
        <x:v>40</x:v>
      </x:c>
      <x:c r="F421" s="170" t="str">
        <x:v>kg total stack; effective resistance To verify</x:v>
      </x:c>
      <x:c r="G421" s="170" t="n">
        <x:v>16</x:v>
      </x:c>
      <x:c r="H421" s="170" t="str">
        <x:v>Clean and pain-free; no assistance or breakdown</x:v>
      </x:c>
      <x:c r="I421" s="170" t="str">
        <x:v>No shoulder, elbow, wrist, biceps or other pain; prior upper-biceps pump resolved</x:v>
      </x:c>
      <x:c r="J421" s="170" t="str">
        <x:v>Low final</x:v>
      </x:c>
      <x:c r="K421" s="170" t="str">
        <x:v>Good</x:v>
      </x:c>
      <x:c r="L421" s="170" t="str">
        <x:v>Target met</x:v>
      </x:c>
      <x:c r="M421" s="170" t="str">
        <x:v>Working</x:v>
      </x:c>
      <x:c r="N421" s="170" t="n">
        <x:v>3</x:v>
      </x:c>
    </x:row>
    <x:row r="422">
      <x:c r="A422" s="220" t="n">
        <x:v>46260</x:v>
      </x:c>
      <x:c r="B422" s="170" t="str">
        <x:v>Shoulders</x:v>
      </x:c>
      <x:c r="C422" s="170" t="str">
        <x:v>Cable Upright Row</x:v>
      </x:c>
      <x:c r="D422" s="170" t="n">
        <x:v>2</x:v>
      </x:c>
      <x:c r="E422" s="170" t="n">
        <x:v>50</x:v>
      </x:c>
      <x:c r="F422" s="170" t="str">
        <x:v>kg total stack; effective resistance To verify</x:v>
      </x:c>
      <x:c r="G422" s="170" t="n">
        <x:v>12</x:v>
      </x:c>
      <x:c r="H422" s="170" t="str">
        <x:v>Clean and pain-free; no assistance or breakdown</x:v>
      </x:c>
      <x:c r="I422" s="170" t="str">
        <x:v>No shoulder, elbow, wrist, biceps or other pain; prior upper-biceps pump resolved</x:v>
      </x:c>
      <x:c r="J422" s="170" t="str">
        <x:v>Low final</x:v>
      </x:c>
      <x:c r="K422" s="170" t="str">
        <x:v>Good</x:v>
      </x:c>
      <x:c r="L422" s="170" t="str">
        <x:v>Target met</x:v>
      </x:c>
      <x:c r="M422" s="170" t="str">
        <x:v>Working</x:v>
      </x:c>
      <x:c r="N422" s="170" t="n">
        <x:v>2</x:v>
      </x:c>
    </x:row>
    <x:row r="423">
      <x:c r="A423" s="220" t="n">
        <x:v>46260</x:v>
      </x:c>
      <x:c r="B423" s="170" t="str">
        <x:v>Shoulders</x:v>
      </x:c>
      <x:c r="C423" s="170" t="str">
        <x:v>Cable Upright Row</x:v>
      </x:c>
      <x:c r="D423" s="170" t="n">
        <x:v>3</x:v>
      </x:c>
      <x:c r="E423" s="170" t="n">
        <x:v>60</x:v>
      </x:c>
      <x:c r="F423" s="170" t="str">
        <x:v>kg total stack; effective resistance To verify</x:v>
      </x:c>
      <x:c r="G423" s="170" t="n">
        <x:v>9</x:v>
      </x:c>
      <x:c r="H423" s="170" t="str">
        <x:v>Confirmed clean and pain-free; no assistance or breakdown</x:v>
      </x:c>
      <x:c r="I423" s="170" t="str">
        <x:v>No shoulder, elbow, wrist, biceps or other pain; prior upper-biceps pump resolved</x:v>
      </x:c>
      <x:c r="J423" s="170" t="str">
        <x:v>Low final</x:v>
      </x:c>
      <x:c r="K423" s="170" t="str">
        <x:v>Good</x:v>
      </x:c>
      <x:c r="L423" s="170" t="str">
        <x:v>Above prescribed range; retained without progression credit; return to 50 kg target</x:v>
      </x:c>
      <x:c r="M423" s="170" t="str">
        <x:v>Working</x:v>
      </x:c>
      <x:c r="N423" s="170" t="n">
        <x:v>2</x:v>
      </x:c>
    </x:row>
    <x:row r="424">
      <x:c r="A424" s="220" t="n">
        <x:v>46260</x:v>
      </x:c>
      <x:c r="B424" s="170" t="str">
        <x:v>Shoulders</x:v>
      </x:c>
      <x:c r="C424" s="170" t="str">
        <x:v>Dumbbell Shrugs</x:v>
      </x:c>
      <x:c r="D424" s="170" t="n">
        <x:v>1</x:v>
      </x:c>
      <x:c r="E424" s="170" t="n">
        <x:v>30</x:v>
      </x:c>
      <x:c r="F424" s="170" t="str">
        <x:v>kg each dumbbell</x:v>
      </x:c>
      <x:c r="G424" s="170" t="n">
        <x:v>15</x:v>
      </x:c>
      <x:c r="H424" s="170" t="str">
        <x:v>Clean and unassisted; top-pause detail To verify</x:v>
      </x:c>
      <x:c r="I424" s="170" t="str">
        <x:v>No shoulder, elbow, wrist, biceps or other pain; prior upper-biceps pump resolved</x:v>
      </x:c>
      <x:c r="J424" s="170" t="str">
        <x:v>Low final</x:v>
      </x:c>
      <x:c r="K424" s="170" t="str">
        <x:v>Good</x:v>
      </x:c>
      <x:c r="L424" s="170" t="str">
        <x:v>Reserve was one rep harder than target</x:v>
      </x:c>
      <x:c r="M424" s="170" t="str">
        <x:v>Working</x:v>
      </x:c>
      <x:c r="N424" s="170" t="n">
        <x:v>2</x:v>
      </x:c>
    </x:row>
    <x:row r="425">
      <x:c r="A425" s="220" t="n">
        <x:v>46260</x:v>
      </x:c>
      <x:c r="B425" s="170" t="str">
        <x:v>Shoulders</x:v>
      </x:c>
      <x:c r="C425" s="170" t="str">
        <x:v>Dumbbell Shrugs</x:v>
      </x:c>
      <x:c r="D425" s="170" t="n">
        <x:v>2</x:v>
      </x:c>
      <x:c r="E425" s="170" t="n">
        <x:v>35</x:v>
      </x:c>
      <x:c r="F425" s="170" t="str">
        <x:v>kg each dumbbell</x:v>
      </x:c>
      <x:c r="G425" s="170" t="n">
        <x:v>10</x:v>
      </x:c>
      <x:c r="H425" s="170" t="str">
        <x:v>Clean and unassisted; top-pause detail To verify</x:v>
      </x:c>
      <x:c r="I425" s="170" t="str">
        <x:v>No shoulder, elbow, wrist, biceps or other pain; prior upper-biceps pump resolved</x:v>
      </x:c>
      <x:c r="J425" s="170" t="str">
        <x:v>Low final</x:v>
      </x:c>
      <x:c r="K425" s="170" t="str">
        <x:v>Good</x:v>
      </x:c>
      <x:c r="L425" s="170" t="str">
        <x:v>Below rep target; keep load</x:v>
      </x:c>
      <x:c r="M425" s="170" t="str">
        <x:v>Working</x:v>
      </x:c>
      <x:c r="N425" s="170" t="n">
        <x:v>2</x:v>
      </x:c>
    </x:row>
    <x:row r="426">
      <x:c r="A426" s="220" t="n">
        <x:v>46260</x:v>
      </x:c>
      <x:c r="B426" s="170" t="str">
        <x:v>Shoulders</x:v>
      </x:c>
      <x:c r="C426" s="170" t="str">
        <x:v>Dumbbell Shrugs</x:v>
      </x:c>
      <x:c r="D426" s="170" t="n">
        <x:v>3</x:v>
      </x:c>
      <x:c r="E426" s="170" t="n">
        <x:v>40</x:v>
      </x:c>
      <x:c r="F426" s="170" t="str">
        <x:v>kg each dumbbell</x:v>
      </x:c>
      <x:c r="G426" s="170" t="n">
        <x:v>9</x:v>
      </x:c>
      <x:c r="H426" s="170" t="str">
        <x:v>Clean and unassisted; top-pause detail To verify</x:v>
      </x:c>
      <x:c r="I426" s="170" t="str">
        <x:v>No shoulder, elbow, wrist, biceps or other pain; prior upper-biceps pump resolved</x:v>
      </x:c>
      <x:c r="J426" s="170" t="str">
        <x:v>Low final</x:v>
      </x:c>
      <x:c r="K426" s="170" t="str">
        <x:v>Good</x:v>
      </x:c>
      <x:c r="L426" s="170" t="str">
        <x:v>Below rep target; keep load</x:v>
      </x:c>
      <x:c r="M426" s="170" t="str">
        <x:v>Working</x:v>
      </x:c>
      <x:c r="N426" s="170" t="n">
        <x:v>2</x:v>
      </x:c>
    </x:row>
    <x:row r="427">
      <x:c r="A427" s="220" t="n">
        <x:v>46260</x:v>
      </x:c>
      <x:c r="B427" s="170" t="str">
        <x:v>Biceps</x:v>
      </x:c>
      <x:c r="C427" s="170" t="str">
        <x:v>Plate Curl Machine</x:v>
      </x:c>
      <x:c r="D427" s="170" t="n">
        <x:v>1</x:v>
      </x:c>
      <x:c r="E427" s="170" t="n">
        <x:v>7.5</x:v>
      </x:c>
      <x:c r="F427" s="170" t="str">
        <x:v>kg plates each side</x:v>
      </x:c>
      <x:c r="G427" s="170" t="n">
        <x:v>16</x:v>
      </x:c>
      <x:c r="H427" s="170" t="str">
        <x:v>Clean and unassisted; upper arms supported</x:v>
      </x:c>
      <x:c r="I427" s="170" t="str">
        <x:v>No shoulder, elbow, wrist, biceps or other pain; prior upper-biceps pump resolved</x:v>
      </x:c>
      <x:c r="J427" s="170" t="str">
        <x:v>Low final</x:v>
      </x:c>
      <x:c r="K427" s="170" t="str">
        <x:v>Good</x:v>
      </x:c>
      <x:c r="L427" s="170" t="str">
        <x:v>Replaced incline curl, not added to it</x:v>
      </x:c>
      <x:c r="M427" s="170" t="str">
        <x:v>Working</x:v>
      </x:c>
      <x:c r="N427" s="170" t="n">
        <x:v>3</x:v>
      </x:c>
    </x:row>
    <x:row r="428">
      <x:c r="A428" s="220" t="n">
        <x:v>46260</x:v>
      </x:c>
      <x:c r="B428" s="170" t="str">
        <x:v>Biceps</x:v>
      </x:c>
      <x:c r="C428" s="170" t="str">
        <x:v>Plate Curl Machine</x:v>
      </x:c>
      <x:c r="D428" s="170" t="n">
        <x:v>2</x:v>
      </x:c>
      <x:c r="E428" s="170" t="n">
        <x:v>10</x:v>
      </x:c>
      <x:c r="F428" s="170" t="str">
        <x:v>kg plates each side</x:v>
      </x:c>
      <x:c r="G428" s="170" t="n">
        <x:v>13</x:v>
      </x:c>
      <x:c r="H428" s="170" t="str">
        <x:v>Clean and unassisted; upper arms supported</x:v>
      </x:c>
      <x:c r="I428" s="170" t="str">
        <x:v>No shoulder, elbow, wrist, biceps or other pain; prior upper-biceps pump resolved</x:v>
      </x:c>
      <x:c r="J428" s="170" t="str">
        <x:v>Low final</x:v>
      </x:c>
      <x:c r="K428" s="170" t="str">
        <x:v>Good</x:v>
      </x:c>
      <x:c r="L428" s="170" t="str">
        <x:v>Improved reserve</x:v>
      </x:c>
      <x:c r="M428" s="170" t="str">
        <x:v>Working</x:v>
      </x:c>
      <x:c r="N428" s="170" t="n">
        <x:v>3</x:v>
      </x:c>
    </x:row>
    <x:row r="429">
      <x:c r="A429" s="220" t="n">
        <x:v>46260</x:v>
      </x:c>
      <x:c r="B429" s="170" t="str">
        <x:v>Biceps</x:v>
      </x:c>
      <x:c r="C429" s="170" t="str">
        <x:v>Plate Curl Machine</x:v>
      </x:c>
      <x:c r="D429" s="170" t="n">
        <x:v>3</x:v>
      </x:c>
      <x:c r="E429" s="170" t="n">
        <x:v>12.5</x:v>
      </x:c>
      <x:c r="F429" s="170" t="str">
        <x:v>kg plates each side</x:v>
      </x:c>
      <x:c r="G429" s="170" t="n">
        <x:v>11</x:v>
      </x:c>
      <x:c r="H429" s="170" t="str">
        <x:v>Clean and unassisted; upper arms supported</x:v>
      </x:c>
      <x:c r="I429" s="170" t="str">
        <x:v>No shoulder, elbow, wrist, biceps or other pain; prior upper-biceps pump resolved</x:v>
      </x:c>
      <x:c r="J429" s="170" t="str">
        <x:v>Low final</x:v>
      </x:c>
      <x:c r="K429" s="170" t="str">
        <x:v>Good</x:v>
      </x:c>
      <x:c r="L429" s="170" t="str">
        <x:v>Improved reserve; requested 15 kg set correctly omitted</x:v>
      </x:c>
      <x:c r="M429" s="170" t="str">
        <x:v>Working</x:v>
      </x:c>
      <x:c r="N429" s="170" t="n">
        <x:v>3</x:v>
      </x:c>
    </x:row>
    <x:row r="430">
      <x:c r="A430" s="220" t="n">
        <x:v>46261</x:v>
      </x:c>
      <x:c r="B430" s="170" t="str">
        <x:v>Legs</x:v>
      </x:c>
      <x:c r="C430" s="170" t="str">
        <x:v>Hack Squat</x:v>
      </x:c>
      <x:c r="D430" s="170" t="n">
        <x:v>1</x:v>
      </x:c>
      <x:c r="E430" s="170" t="n">
        <x:v>35</x:v>
      </x:c>
      <x:c r="F430" s="170" t="str">
        <x:v>kg plates each side; machine carriage excluded</x:v>
      </x:c>
      <x:c r="G430" s="170" t="n">
        <x:v>15</x:v>
      </x:c>
      <x:c r="H430" s="170" t="str">
        <x:v>Clean and unassisted; controlled depth To verify</x:v>
      </x:c>
      <x:c r="I430" s="170" t="str">
        <x:v>No lower-back, knee or hip pain; RDL felt mainly in hamstrings with a little non-painful lower-back involvement</x:v>
      </x:c>
      <x:c r="J430" s="170" t="str">
        <x:v>Low final</x:v>
      </x:c>
      <x:c r="K430" s="170" t="str">
        <x:v>Good</x:v>
      </x:c>
      <x:c r="L430" s="170" t="str">
        <x:v>Target met</x:v>
      </x:c>
      <x:c r="M430" s="170" t="str">
        <x:v>Working</x:v>
      </x:c>
      <x:c r="N430" s="170" t="n">
        <x:v>3</x:v>
      </x:c>
    </x:row>
    <x:row r="431">
      <x:c r="A431" s="220" t="n">
        <x:v>46261</x:v>
      </x:c>
      <x:c r="B431" s="170" t="str">
        <x:v>Legs</x:v>
      </x:c>
      <x:c r="C431" s="170" t="str">
        <x:v>Hack Squat</x:v>
      </x:c>
      <x:c r="D431" s="170" t="n">
        <x:v>2</x:v>
      </x:c>
      <x:c r="E431" s="170" t="n">
        <x:v>45</x:v>
      </x:c>
      <x:c r="F431" s="170" t="str">
        <x:v>kg plates each side; machine carriage excluded</x:v>
      </x:c>
      <x:c r="G431" s="170" t="n">
        <x:v>12</x:v>
      </x:c>
      <x:c r="H431" s="170" t="str">
        <x:v>Clean and unassisted; controlled depth To verify</x:v>
      </x:c>
      <x:c r="I431" s="170" t="str">
        <x:v>No lower-back, knee or hip pain; RDL felt mainly in hamstrings with a little non-painful lower-back involvement</x:v>
      </x:c>
      <x:c r="J431" s="170" t="str">
        <x:v>Low final</x:v>
      </x:c>
      <x:c r="K431" s="170" t="str">
        <x:v>Good</x:v>
      </x:c>
      <x:c r="L431" s="170" t="str">
        <x:v>Target met</x:v>
      </x:c>
      <x:c r="M431" s="170" t="str">
        <x:v>Working</x:v>
      </x:c>
      <x:c r="N431" s="170" t="n">
        <x:v>3</x:v>
      </x:c>
    </x:row>
    <x:row r="432">
      <x:c r="A432" s="220" t="n">
        <x:v>46261</x:v>
      </x:c>
      <x:c r="B432" s="170" t="str">
        <x:v>Legs</x:v>
      </x:c>
      <x:c r="C432" s="170" t="str">
        <x:v>Hack Squat</x:v>
      </x:c>
      <x:c r="D432" s="170" t="n">
        <x:v>3</x:v>
      </x:c>
      <x:c r="E432" s="170" t="n">
        <x:v>55</x:v>
      </x:c>
      <x:c r="F432" s="170" t="str">
        <x:v>kg plates each side; machine carriage excluded</x:v>
      </x:c>
      <x:c r="G432" s="170" t="n">
        <x:v>10</x:v>
      </x:c>
      <x:c r="H432" s="170" t="str">
        <x:v>Clean and unassisted; controlled depth To verify</x:v>
      </x:c>
      <x:c r="I432" s="170" t="str">
        <x:v>No lower-back, knee or hip pain; RDL felt mainly in hamstrings with a little non-painful lower-back involvement</x:v>
      </x:c>
      <x:c r="J432" s="170" t="str">
        <x:v>Low final</x:v>
      </x:c>
      <x:c r="K432" s="170" t="str">
        <x:v>Good</x:v>
      </x:c>
      <x:c r="L432" s="170" t="str">
        <x:v>Reserve improved</x:v>
      </x:c>
      <x:c r="M432" s="170" t="str">
        <x:v>Working</x:v>
      </x:c>
      <x:c r="N432" s="170" t="n">
        <x:v>3</x:v>
      </x:c>
    </x:row>
    <x:row r="433">
      <x:c r="A433" s="220" t="n">
        <x:v>46261</x:v>
      </x:c>
      <x:c r="B433" s="170" t="str">
        <x:v>Legs</x:v>
      </x:c>
      <x:c r="C433" s="170" t="str">
        <x:v>Hack Squat</x:v>
      </x:c>
      <x:c r="D433" s="170" t="n">
        <x:v>4</x:v>
      </x:c>
      <x:c r="E433" s="170" t="n">
        <x:v>65</x:v>
      </x:c>
      <x:c r="F433" s="170" t="str">
        <x:v>kg plates each side; machine carriage excluded</x:v>
      </x:c>
      <x:c r="G433" s="170" t="n">
        <x:v>9</x:v>
      </x:c>
      <x:c r="H433" s="170" t="str">
        <x:v>Clean and unassisted; controlled depth To verify</x:v>
      </x:c>
      <x:c r="I433" s="170" t="str">
        <x:v>No lower-back, knee or hip pain; RDL felt mainly in hamstrings with a little non-painful lower-back involvement</x:v>
      </x:c>
      <x:c r="J433" s="170" t="str">
        <x:v>Low final</x:v>
      </x:c>
      <x:c r="K433" s="170" t="str">
        <x:v>Good</x:v>
      </x:c>
      <x:c r="L433" s="170" t="str">
        <x:v>One rep below target; keep load</x:v>
      </x:c>
      <x:c r="M433" s="170" t="str">
        <x:v>Working</x:v>
      </x:c>
      <x:c r="N433" s="170" t="n">
        <x:v>2</x:v>
      </x:c>
    </x:row>
    <x:row r="434">
      <x:c r="A434" s="220" t="n">
        <x:v>46261</x:v>
      </x:c>
      <x:c r="B434" s="170" t="str">
        <x:v>Legs</x:v>
      </x:c>
      <x:c r="C434" s="170" t="str">
        <x:v>Leg Press</x:v>
      </x:c>
      <x:c r="D434" s="170" t="n">
        <x:v>1</x:v>
      </x:c>
      <x:c r="E434" s="170" t="n">
        <x:v>100</x:v>
      </x:c>
      <x:c r="F434" s="170" t="str">
        <x:v>kg total displayed load</x:v>
      </x:c>
      <x:c r="G434" s="170" t="n">
        <x:v>15</x:v>
      </x:c>
      <x:c r="H434" s="170" t="str">
        <x:v>Clean and unassisted; depth and sled resistance To verify</x:v>
      </x:c>
      <x:c r="I434" s="170" t="str">
        <x:v>No lower-back, knee or hip pain; RDL felt mainly in hamstrings with a little non-painful lower-back involvement</x:v>
      </x:c>
      <x:c r="J434" s="170" t="str">
        <x:v>Low final</x:v>
      </x:c>
      <x:c r="K434" s="170" t="str">
        <x:v>Good</x:v>
      </x:c>
      <x:c r="L434" s="170" t="str">
        <x:v>Exceeded prescribed rep range; keep load and improve reserve</x:v>
      </x:c>
      <x:c r="M434" s="170" t="str">
        <x:v>Working</x:v>
      </x:c>
      <x:c r="N434" s="170" t="n">
        <x:v>2</x:v>
      </x:c>
    </x:row>
    <x:row r="435">
      <x:c r="A435" s="220" t="n">
        <x:v>46261</x:v>
      </x:c>
      <x:c r="B435" s="170" t="str">
        <x:v>Legs</x:v>
      </x:c>
      <x:c r="C435" s="170" t="str">
        <x:v>Leg Press</x:v>
      </x:c>
      <x:c r="D435" s="170" t="n">
        <x:v>2</x:v>
      </x:c>
      <x:c r="E435" s="170" t="n">
        <x:v>120</x:v>
      </x:c>
      <x:c r="F435" s="170" t="str">
        <x:v>kg total displayed load</x:v>
      </x:c>
      <x:c r="G435" s="170" t="n">
        <x:v>12</x:v>
      </x:c>
      <x:c r="H435" s="170" t="str">
        <x:v>Clean and unassisted; depth and sled resistance To verify</x:v>
      </x:c>
      <x:c r="I435" s="170" t="str">
        <x:v>No lower-back, knee or hip pain; RDL felt mainly in hamstrings with a little non-painful lower-back involvement</x:v>
      </x:c>
      <x:c r="J435" s="170" t="str">
        <x:v>Low final</x:v>
      </x:c>
      <x:c r="K435" s="170" t="str">
        <x:v>Good</x:v>
      </x:c>
      <x:c r="L435" s="170" t="str">
        <x:v>Exceeded prescribed rep range; keep load</x:v>
      </x:c>
      <x:c r="M435" s="170" t="str">
        <x:v>Working</x:v>
      </x:c>
      <x:c r="N435" s="170" t="n">
        <x:v>2</x:v>
      </x:c>
    </x:row>
    <x:row r="436">
      <x:c r="A436" s="220" t="n">
        <x:v>46261</x:v>
      </x:c>
      <x:c r="B436" s="170" t="str">
        <x:v>Legs</x:v>
      </x:c>
      <x:c r="C436" s="170" t="str">
        <x:v>Leg Press</x:v>
      </x:c>
      <x:c r="D436" s="170" t="n">
        <x:v>3</x:v>
      </x:c>
      <x:c r="E436" s="170" t="n">
        <x:v>140</x:v>
      </x:c>
      <x:c r="F436" s="170" t="str">
        <x:v>kg total displayed load</x:v>
      </x:c>
      <x:c r="G436" s="170" t="n">
        <x:v>10</x:v>
      </x:c>
      <x:c r="H436" s="170" t="str">
        <x:v>Clean and unassisted; depth and sled resistance To verify</x:v>
      </x:c>
      <x:c r="I436" s="170" t="str">
        <x:v>No lower-back, knee or hip pain; RDL felt mainly in hamstrings with a little non-painful lower-back involvement</x:v>
      </x:c>
      <x:c r="J436" s="170" t="str">
        <x:v>Low final</x:v>
      </x:c>
      <x:c r="K436" s="170" t="str">
        <x:v>Good</x:v>
      </x:c>
      <x:c r="L436" s="170" t="str">
        <x:v>Harder than target; historical 130/150 versus 140/160 load discrepancy To verify</x:v>
      </x:c>
      <x:c r="M436" s="170" t="str">
        <x:v>Working</x:v>
      </x:c>
      <x:c r="N436" s="170" t="n">
        <x:v>1</x:v>
      </x:c>
    </x:row>
    <x:row r="437">
      <x:c r="A437" s="220" t="n">
        <x:v>46261</x:v>
      </x:c>
      <x:c r="B437" s="170" t="str">
        <x:v>Legs</x:v>
      </x:c>
      <x:c r="C437" s="170" t="str">
        <x:v>Leg Press</x:v>
      </x:c>
      <x:c r="D437" s="170" t="n">
        <x:v>4</x:v>
      </x:c>
      <x:c r="E437" s="170" t="n">
        <x:v>160</x:v>
      </x:c>
      <x:c r="F437" s="170" t="str">
        <x:v>kg total displayed load</x:v>
      </x:c>
      <x:c r="G437" s="170" t="n">
        <x:v>7</x:v>
      </x:c>
      <x:c r="H437" s="170" t="str">
        <x:v>Five clean reps plus two human hand-assisted reps; assistance source To verify</x:v>
      </x:c>
      <x:c r="I437" s="170" t="str">
        <x:v>No lower-back, knee or hip pain; RDL felt mainly in hamstrings with a little non-painful lower-back involvement</x:v>
      </x:c>
      <x:c r="J437" s="170" t="str">
        <x:v>Low final</x:v>
      </x:c>
      <x:c r="K437" s="170" t="str">
        <x:v>Good</x:v>
      </x:c>
      <x:c r="L437" s="170" t="str">
        <x:v>Unplanned assisted top set; no progression credit; omit next time; historical load discrepancy To verify</x:v>
      </x:c>
      <x:c r="M437" s="170" t="str">
        <x:v>Assisted</x:v>
      </x:c>
      <x:c r="N437" s="170" t="n">
        <x:v>1</x:v>
      </x:c>
    </x:row>
    <x:row r="438">
      <x:c r="A438" s="220" t="n">
        <x:v>46261</x:v>
      </x:c>
      <x:c r="B438" s="170" t="str">
        <x:v>Legs</x:v>
      </x:c>
      <x:c r="C438" s="170" t="str">
        <x:v>Dumbbell Romanian Deadlift</x:v>
      </x:c>
      <x:c r="D438" s="170" t="n">
        <x:v>1</x:v>
      </x:c>
      <x:c r="E438" s="170" t="n">
        <x:v>10</x:v>
      </x:c>
      <x:c r="F438" s="170" t="str">
        <x:v>kg each dumbbell</x:v>
      </x:c>
      <x:c r="G438" s="170" t="n">
        <x:v>15</x:v>
      </x:c>
      <x:c r="H438" s="170" t="str">
        <x:v>Pain-free; hamstrings dominant with a little non-painful lower-back involvement; detailed hinge depth To verify</x:v>
      </x:c>
      <x:c r="I438" s="170" t="str">
        <x:v>No lower-back, knee or hip pain; RDL felt mainly in hamstrings with a little non-painful lower-back involvement</x:v>
      </x:c>
      <x:c r="J438" s="170" t="str">
        <x:v>Low final</x:v>
      </x:c>
      <x:c r="K438" s="170" t="str">
        <x:v>Good</x:v>
      </x:c>
      <x:c r="L438" s="170" t="str">
        <x:v>Technique improved from prior lower-back-dominant session</x:v>
      </x:c>
      <x:c r="M438" s="170" t="str">
        <x:v>Working</x:v>
      </x:c>
      <x:c r="N438" s="170" t="n">
        <x:v>2</x:v>
      </x:c>
    </x:row>
    <x:row r="439">
      <x:c r="A439" s="220" t="n">
        <x:v>46261</x:v>
      </x:c>
      <x:c r="B439" s="170" t="str">
        <x:v>Legs</x:v>
      </x:c>
      <x:c r="C439" s="170" t="str">
        <x:v>Dumbbell Romanian Deadlift</x:v>
      </x:c>
      <x:c r="D439" s="170" t="n">
        <x:v>2</x:v>
      </x:c>
      <x:c r="E439" s="170" t="n">
        <x:v>12.5</x:v>
      </x:c>
      <x:c r="F439" s="170" t="str">
        <x:v>kg each dumbbell</x:v>
      </x:c>
      <x:c r="G439" s="170" t="n">
        <x:v>12</x:v>
      </x:c>
      <x:c r="H439" s="170" t="str">
        <x:v>Pain-free; hamstrings dominant with a little non-painful lower-back involvement; detailed hinge depth To verify</x:v>
      </x:c>
      <x:c r="I439" s="170" t="str">
        <x:v>No lower-back, knee or hip pain; RDL felt mainly in hamstrings with a little non-painful lower-back involvement</x:v>
      </x:c>
      <x:c r="J439" s="170" t="str">
        <x:v>Low final</x:v>
      </x:c>
      <x:c r="K439" s="170" t="str">
        <x:v>Good</x:v>
      </x:c>
      <x:c r="L439" s="170" t="str">
        <x:v>Pain-free progression; keep load controlled</x:v>
      </x:c>
      <x:c r="M439" s="170" t="str">
        <x:v>Working</x:v>
      </x:c>
      <x:c r="N439" s="170" t="n">
        <x:v>2</x:v>
      </x:c>
    </x:row>
    <x:row r="440">
      <x:c r="A440" s="220" t="n">
        <x:v>46261</x:v>
      </x:c>
      <x:c r="B440" s="170" t="str">
        <x:v>Legs</x:v>
      </x:c>
      <x:c r="C440" s="170" t="str">
        <x:v>Dumbbell Romanian Deadlift</x:v>
      </x:c>
      <x:c r="D440" s="170" t="n">
        <x:v>3</x:v>
      </x:c>
      <x:c r="E440" s="170" t="n">
        <x:v>15</x:v>
      </x:c>
      <x:c r="F440" s="170" t="str">
        <x:v>kg each dumbbell</x:v>
      </x:c>
      <x:c r="G440" s="170" t="n">
        <x:v>10</x:v>
      </x:c>
      <x:c r="H440" s="170" t="str">
        <x:v>Pain-free; hamstrings dominant with a little non-painful lower-back involvement; detailed hinge depth To verify</x:v>
      </x:c>
      <x:c r="I440" s="170" t="str">
        <x:v>No lower-back, knee or hip pain; RDL felt mainly in hamstrings with a little non-painful lower-back involvement</x:v>
      </x:c>
      <x:c r="J440" s="170" t="str">
        <x:v>Low final</x:v>
      </x:c>
      <x:c r="K440" s="170" t="str">
        <x:v>Good</x:v>
      </x:c>
      <x:c r="L440" s="170" t="str">
        <x:v>Third set completed after leg press; no load increase yet</x:v>
      </x:c>
      <x:c r="M440" s="170" t="str">
        <x:v>Working</x:v>
      </x:c>
      <x:c r="N440" s="170" t="n">
        <x:v>2</x:v>
      </x:c>
    </x:row>
    <x:row r="441">
      <x:c r="A441" s="220" t="n">
        <x:v>46261</x:v>
      </x:c>
      <x:c r="B441" s="170" t="str">
        <x:v>Legs</x:v>
      </x:c>
      <x:c r="C441" s="170" t="str">
        <x:v>Leg Curl</x:v>
      </x:c>
      <x:c r="D441" s="170" t="n">
        <x:v>1</x:v>
      </x:c>
      <x:c r="E441" s="170" t="n">
        <x:v>30</x:v>
      </x:c>
      <x:c r="F441" s="170" t="str">
        <x:v>kg total stack; effective resistance To verify</x:v>
      </x:c>
      <x:c r="G441" s="170" t="n">
        <x:v>12</x:v>
      </x:c>
      <x:c r="H441" s="170" t="str">
        <x:v>Clean and unassisted; full range To verify</x:v>
      </x:c>
      <x:c r="I441" s="170" t="str">
        <x:v>No lower-back, knee or hip pain; RDL felt mainly in hamstrings with a little non-painful lower-back involvement</x:v>
      </x:c>
      <x:c r="J441" s="170" t="str">
        <x:v>Low final</x:v>
      </x:c>
      <x:c r="K441" s="170" t="str">
        <x:v>Good</x:v>
      </x:c>
      <x:c r="L441" s="170" t="str">
        <x:v>One reserve harder than target</x:v>
      </x:c>
      <x:c r="M441" s="170" t="str">
        <x:v>Working</x:v>
      </x:c>
      <x:c r="N441" s="170" t="n">
        <x:v>2</x:v>
      </x:c>
    </x:row>
    <x:row r="442">
      <x:c r="A442" s="220" t="n">
        <x:v>46261</x:v>
      </x:c>
      <x:c r="B442" s="170" t="str">
        <x:v>Legs</x:v>
      </x:c>
      <x:c r="C442" s="170" t="str">
        <x:v>Leg Curl</x:v>
      </x:c>
      <x:c r="D442" s="170" t="n">
        <x:v>2</x:v>
      </x:c>
      <x:c r="E442" s="170" t="n">
        <x:v>35</x:v>
      </x:c>
      <x:c r="F442" s="170" t="str">
        <x:v>kg total stack; effective resistance To verify</x:v>
      </x:c>
      <x:c r="G442" s="170" t="n">
        <x:v>9</x:v>
      </x:c>
      <x:c r="H442" s="170" t="str">
        <x:v>Clean and unassisted; full range To verify</x:v>
      </x:c>
      <x:c r="I442" s="170" t="str">
        <x:v>No lower-back, knee or hip pain; RDL felt mainly in hamstrings with a little non-painful lower-back involvement</x:v>
      </x:c>
      <x:c r="J442" s="170" t="str">
        <x:v>Low final</x:v>
      </x:c>
      <x:c r="K442" s="170" t="str">
        <x:v>Good</x:v>
      </x:c>
      <x:c r="L442" s="170" t="str">
        <x:v>Below 10-12 rep target and harder than target; keep load</x:v>
      </x:c>
      <x:c r="M442" s="170" t="str">
        <x:v>Working</x:v>
      </x:c>
      <x:c r="N442" s="170" t="n">
        <x:v>1</x:v>
      </x:c>
    </x:row>
    <x:row r="443">
      <x:c r="A443" s="220" t="n">
        <x:v>46261</x:v>
      </x:c>
      <x:c r="B443" s="170" t="str">
        <x:v>Legs</x:v>
      </x:c>
      <x:c r="C443" s="170" t="str">
        <x:v>Leg Extension</x:v>
      </x:c>
      <x:c r="D443" s="170" t="n">
        <x:v>1</x:v>
      </x:c>
      <x:c r="E443" s="170" t="n">
        <x:v>40</x:v>
      </x:c>
      <x:c r="F443" s="170" t="str">
        <x:v>kg total stack; effective resistance To verify</x:v>
      </x:c>
      <x:c r="G443" s="170" t="n">
        <x:v>15</x:v>
      </x:c>
      <x:c r="H443" s="170" t="str">
        <x:v>Clean and unassisted; controlled eccentric To verify</x:v>
      </x:c>
      <x:c r="I443" s="170" t="str">
        <x:v>No lower-back, knee or hip pain; RDL felt mainly in hamstrings with a little non-painful lower-back involvement</x:v>
      </x:c>
      <x:c r="J443" s="170" t="str">
        <x:v>Low final</x:v>
      </x:c>
      <x:c r="K443" s="170" t="str">
        <x:v>Good</x:v>
      </x:c>
      <x:c r="L443" s="170" t="str">
        <x:v>Target met exactly</x:v>
      </x:c>
      <x:c r="M443" s="170" t="str">
        <x:v>Working</x:v>
      </x:c>
      <x:c r="N443" s="170" t="n">
        <x:v>3</x:v>
      </x:c>
    </x:row>
    <x:row r="444">
      <x:c r="A444" s="220" t="n">
        <x:v>46261</x:v>
      </x:c>
      <x:c r="B444" s="170" t="str">
        <x:v>Legs</x:v>
      </x:c>
      <x:c r="C444" s="170" t="str">
        <x:v>Leg Extension</x:v>
      </x:c>
      <x:c r="D444" s="170" t="n">
        <x:v>2</x:v>
      </x:c>
      <x:c r="E444" s="170" t="n">
        <x:v>45</x:v>
      </x:c>
      <x:c r="F444" s="170" t="str">
        <x:v>kg total stack; effective resistance To verify</x:v>
      </x:c>
      <x:c r="G444" s="170" t="n">
        <x:v>13</x:v>
      </x:c>
      <x:c r="H444" s="170" t="str">
        <x:v>Clean and unassisted; controlled eccentric To verify</x:v>
      </x:c>
      <x:c r="I444" s="170" t="str">
        <x:v>No lower-back, knee or hip pain; RDL felt mainly in hamstrings with a little non-painful lower-back involvement</x:v>
      </x:c>
      <x:c r="J444" s="170" t="str">
        <x:v>Low final</x:v>
      </x:c>
      <x:c r="K444" s="170" t="str">
        <x:v>Good</x:v>
      </x:c>
      <x:c r="L444" s="170" t="str">
        <x:v>Target met exactly</x:v>
      </x:c>
      <x:c r="M444" s="170" t="str">
        <x:v>Working</x:v>
      </x:c>
      <x:c r="N444" s="170" t="n">
        <x:v>2</x:v>
      </x:c>
    </x:row>
    <x:row r="445">
      <x:c r="A445" s="220" t="n">
        <x:v>46261</x:v>
      </x:c>
      <x:c r="B445" s="170" t="str">
        <x:v>Legs</x:v>
      </x:c>
      <x:c r="C445" s="170" t="str">
        <x:v>Leg Extension</x:v>
      </x:c>
      <x:c r="D445" s="170" t="n">
        <x:v>3</x:v>
      </x:c>
      <x:c r="E445" s="170" t="n">
        <x:v>50</x:v>
      </x:c>
      <x:c r="F445" s="170" t="str">
        <x:v>kg total stack; effective resistance To verify</x:v>
      </x:c>
      <x:c r="G445" s="170" t="n">
        <x:v>11</x:v>
      </x:c>
      <x:c r="H445" s="170" t="str">
        <x:v>Clean and unassisted; controlled eccentric To verify</x:v>
      </x:c>
      <x:c r="I445" s="170" t="str">
        <x:v>No lower-back, knee or hip pain; RDL felt mainly in hamstrings with a little non-painful lower-back involvement</x:v>
      </x:c>
      <x:c r="J445" s="170" t="str">
        <x:v>Low final</x:v>
      </x:c>
      <x:c r="K445" s="170" t="str">
        <x:v>Good</x:v>
      </x:c>
      <x:c r="L445" s="170" t="str">
        <x:v>Target met exactly</x:v>
      </x:c>
      <x:c r="M445" s="170" t="str">
        <x:v>Working</x:v>
      </x:c>
      <x:c r="N445" s="170" t="n">
        <x:v>2</x:v>
      </x:c>
    </x:row>
    <x:row r="446">
      <x:c r="A446" s="220" t="n">
        <x:v>46261</x:v>
      </x:c>
      <x:c r="B446" s="170" t="str">
        <x:v>Legs</x:v>
      </x:c>
      <x:c r="C446" s="170" t="str">
        <x:v>Standing Calf Raise</x:v>
      </x:c>
      <x:c r="D446" s="170" t="n">
        <x:v>1</x:v>
      </x:c>
      <x:c r="E446" s="170" t="n">
        <x:v>10</x:v>
      </x:c>
      <x:c r="F446" s="170" t="str">
        <x:v>kg plates each side on guided bar; bar excluded</x:v>
      </x:c>
      <x:c r="G446" s="170" t="n">
        <x:v>22</x:v>
      </x:c>
      <x:c r="H446" s="170" t="str">
        <x:v>Clean and unassisted; pause and stretch detail To verify</x:v>
      </x:c>
      <x:c r="I446" s="170" t="str">
        <x:v>No lower-back, knee or hip pain; RDL felt mainly in hamstrings with a little non-painful lower-back involvement</x:v>
      </x:c>
      <x:c r="J446" s="170" t="str">
        <x:v>Low final</x:v>
      </x:c>
      <x:c r="K446" s="170" t="str">
        <x:v>Good</x:v>
      </x:c>
      <x:c r="L446" s="170" t="str">
        <x:v>Rep progression with reserve</x:v>
      </x:c>
      <x:c r="M446" s="170" t="str">
        <x:v>Working</x:v>
      </x:c>
      <x:c r="N446" s="170" t="n">
        <x:v>3</x:v>
      </x:c>
    </x:row>
    <x:row r="447">
      <x:c r="A447" s="220" t="n">
        <x:v>46261</x:v>
      </x:c>
      <x:c r="B447" s="170" t="str">
        <x:v>Legs</x:v>
      </x:c>
      <x:c r="C447" s="170" t="str">
        <x:v>Standing Calf Raise</x:v>
      </x:c>
      <x:c r="D447" s="170" t="n">
        <x:v>2</x:v>
      </x:c>
      <x:c r="E447" s="170" t="n">
        <x:v>20</x:v>
      </x:c>
      <x:c r="F447" s="170" t="str">
        <x:v>kg plates each side on guided bar; bar excluded</x:v>
      </x:c>
      <x:c r="G447" s="170" t="n">
        <x:v>16</x:v>
      </x:c>
      <x:c r="H447" s="170" t="str">
        <x:v>Clean and unassisted; pause and stretch detail To verify</x:v>
      </x:c>
      <x:c r="I447" s="170" t="str">
        <x:v>No lower-back, knee or hip pain; RDL felt mainly in hamstrings with a little non-painful lower-back involvement</x:v>
      </x:c>
      <x:c r="J447" s="170" t="str">
        <x:v>Low final</x:v>
      </x:c>
      <x:c r="K447" s="170" t="str">
        <x:v>Good</x:v>
      </x:c>
      <x:c r="L447" s="170" t="str">
        <x:v>Reserve improved; only two sets used to preserve 18-set ceiling</x:v>
      </x:c>
      <x:c r="M447" s="170" t="str">
        <x:v>Working</x:v>
      </x:c>
      <x:c r="N447" s="170" t="n">
        <x:v>3</x:v>
      </x:c>
    </x:row>
    <x:row r="448">
      <x:c r="A448" s="220" t="n">
        <x:v>46265</x:v>
      </x:c>
      <x:c r="B448" s="170" t="str">
        <x:v>Chest</x:v>
      </x:c>
      <x:c r="C448" s="170" t="str">
        <x:v>Flat Bench Press</x:v>
      </x:c>
      <x:c r="D448" s="170" t="n">
        <x:v>1</x:v>
      </x:c>
      <x:c r="E448" s="170" t="n">
        <x:v>15</x:v>
      </x:c>
      <x:c r="F448" s="170" t="str">
        <x:v>kg plates each side; bar excluded</x:v>
      </x:c>
      <x:c r="G448" s="170" t="n">
        <x:v>8</x:v>
      </x:c>
      <x:c r="H448" s="170" t="str">
        <x:v>Genuine preparation set; clean and unassisted</x:v>
      </x:c>
      <x:c r="I448" s="170" t="str">
        <x:v>No chest, shoulder, elbow, upper-biceps, knee, hip or lower-back pain; no pre-session soreness</x:v>
      </x:c>
      <x:c r="J448" s="170" t="str">
        <x:v>Low final</x:v>
      </x:c>
      <x:c r="K448" s="170" t="str">
        <x:v>Good</x:v>
      </x:c>
      <x:c r="L448" s="170" t="str">
        <x:v>Excluded from working-set total</x:v>
      </x:c>
      <x:c r="M448" s="170" t="str">
        <x:v>Warm-up</x:v>
      </x:c>
      <x:c r="N448" s="170" t="n">
        <x:v>5</x:v>
      </x:c>
    </x:row>
    <x:row r="449">
      <x:c r="A449" s="220" t="n">
        <x:v>46265</x:v>
      </x:c>
      <x:c r="B449" s="170" t="str">
        <x:v>Chest</x:v>
      </x:c>
      <x:c r="C449" s="170" t="str">
        <x:v>Flat Bench Press</x:v>
      </x:c>
      <x:c r="D449" s="170" t="n">
        <x:v>2</x:v>
      </x:c>
      <x:c r="E449" s="170" t="n">
        <x:v>17.5</x:v>
      </x:c>
      <x:c r="F449" s="170" t="str">
        <x:v>kg plates each side; bar excluded</x:v>
      </x:c>
      <x:c r="G449" s="170" t="n">
        <x:v>12</x:v>
      </x:c>
      <x:c r="H449" s="170" t="str">
        <x:v>Clean and unassisted; detailed bar path To verify</x:v>
      </x:c>
      <x:c r="I449" s="170" t="str">
        <x:v>No chest, shoulder, elbow, upper-biceps, knee, hip or lower-back pain; no pre-session soreness</x:v>
      </x:c>
      <x:c r="J449" s="170" t="str">
        <x:v>Low final</x:v>
      </x:c>
      <x:c r="K449" s="170" t="str">
        <x:v>Good</x:v>
      </x:c>
      <x:c r="L449" s="170" t="str">
        <x:v>Target met with better reserve</x:v>
      </x:c>
      <x:c r="M449" s="170" t="str">
        <x:v>Working</x:v>
      </x:c>
      <x:c r="N449" s="170" t="n">
        <x:v>3</x:v>
      </x:c>
    </x:row>
    <x:row r="450">
      <x:c r="A450" s="220" t="n">
        <x:v>46265</x:v>
      </x:c>
      <x:c r="B450" s="170" t="str">
        <x:v>Chest</x:v>
      </x:c>
      <x:c r="C450" s="170" t="str">
        <x:v>Flat Bench Press</x:v>
      </x:c>
      <x:c r="D450" s="170" t="n">
        <x:v>3</x:v>
      </x:c>
      <x:c r="E450" s="170" t="n">
        <x:v>20</x:v>
      </x:c>
      <x:c r="F450" s="170" t="str">
        <x:v>kg plates each side; bar excluded</x:v>
      </x:c>
      <x:c r="G450" s="170" t="n">
        <x:v>10</x:v>
      </x:c>
      <x:c r="H450" s="170" t="str">
        <x:v>Clean and unassisted; detailed bar path To verify</x:v>
      </x:c>
      <x:c r="I450" s="170" t="str">
        <x:v>No chest, shoulder, elbow, upper-biceps, knee, hip or lower-back pain; no pre-session soreness</x:v>
      </x:c>
      <x:c r="J450" s="170" t="str">
        <x:v>Low final</x:v>
      </x:c>
      <x:c r="K450" s="170" t="str">
        <x:v>Good</x:v>
      </x:c>
      <x:c r="L450" s="170" t="str">
        <x:v>Reserve exceeded target</x:v>
      </x:c>
      <x:c r="M450" s="170" t="str">
        <x:v>Working</x:v>
      </x:c>
      <x:c r="N450" s="170" t="n">
        <x:v>3</x:v>
      </x:c>
    </x:row>
    <x:row r="451">
      <x:c r="A451" s="220" t="n">
        <x:v>46265</x:v>
      </x:c>
      <x:c r="B451" s="170" t="str">
        <x:v>Chest</x:v>
      </x:c>
      <x:c r="C451" s="170" t="str">
        <x:v>Flat Bench Press</x:v>
      </x:c>
      <x:c r="D451" s="170" t="n">
        <x:v>4</x:v>
      </x:c>
      <x:c r="E451" s="170" t="n">
        <x:v>22.5</x:v>
      </x:c>
      <x:c r="F451" s="170" t="str">
        <x:v>kg plates each side; bar excluded</x:v>
      </x:c>
      <x:c r="G451" s="170" t="n">
        <x:v>8</x:v>
      </x:c>
      <x:c r="H451" s="170" t="str">
        <x:v>Clean and unassisted; detailed bar path To verify</x:v>
      </x:c>
      <x:c r="I451" s="170" t="str">
        <x:v>No chest, shoulder, elbow, upper-biceps, knee, hip or lower-back pain; no pre-session soreness</x:v>
      </x:c>
      <x:c r="J451" s="170" t="str">
        <x:v>Low final</x:v>
      </x:c>
      <x:c r="K451" s="170" t="str">
        <x:v>Good</x:v>
      </x:c>
      <x:c r="L451" s="170" t="str">
        <x:v>Previous RIR-0 exposure corrected; progression-quality set</x:v>
      </x:c>
      <x:c r="M451" s="170" t="str">
        <x:v>Working</x:v>
      </x:c>
      <x:c r="N451" s="170" t="n">
        <x:v>2</x:v>
      </x:c>
    </x:row>
    <x:row r="452">
      <x:c r="A452" s="220" t="n">
        <x:v>46265</x:v>
      </x:c>
      <x:c r="B452" s="170" t="str">
        <x:v>Chest</x:v>
      </x:c>
      <x:c r="C452" s="170" t="str">
        <x:v>Incline Barbell Bench Press</x:v>
      </x:c>
      <x:c r="D452" s="170" t="n">
        <x:v>1</x:v>
      </x:c>
      <x:c r="E452" s="170" t="n">
        <x:v>12.5</x:v>
      </x:c>
      <x:c r="F452" s="170" t="str">
        <x:v>kg plates each side; bar excluded</x:v>
      </x:c>
      <x:c r="G452" s="170" t="n">
        <x:v>12</x:v>
      </x:c>
      <x:c r="H452" s="170" t="str">
        <x:v>Clean and unassisted; detailed bar path To verify</x:v>
      </x:c>
      <x:c r="I452" s="170" t="str">
        <x:v>No chest, shoulder, elbow, upper-biceps, knee, hip or lower-back pain; no pre-session soreness</x:v>
      </x:c>
      <x:c r="J452" s="170" t="str">
        <x:v>Low final</x:v>
      </x:c>
      <x:c r="K452" s="170" t="str">
        <x:v>Good</x:v>
      </x:c>
      <x:c r="L452" s="170" t="str">
        <x:v>10 kg preparation/working target was skipped; completed load retained</x:v>
      </x:c>
      <x:c r="M452" s="170" t="str">
        <x:v>Working</x:v>
      </x:c>
      <x:c r="N452" s="170" t="n">
        <x:v>2</x:v>
      </x:c>
    </x:row>
    <x:row r="453">
      <x:c r="A453" s="220" t="n">
        <x:v>46265</x:v>
      </x:c>
      <x:c r="B453" s="170" t="str">
        <x:v>Chest</x:v>
      </x:c>
      <x:c r="C453" s="170" t="str">
        <x:v>Incline Barbell Bench Press</x:v>
      </x:c>
      <x:c r="D453" s="170" t="n">
        <x:v>2</x:v>
      </x:c>
      <x:c r="E453" s="170" t="n">
        <x:v>15</x:v>
      </x:c>
      <x:c r="F453" s="170" t="str">
        <x:v>kg plates each side; bar excluded</x:v>
      </x:c>
      <x:c r="G453" s="170" t="n">
        <x:v>10</x:v>
      </x:c>
      <x:c r="H453" s="170" t="str">
        <x:v>Clean and unassisted; detailed bar path To verify</x:v>
      </x:c>
      <x:c r="I453" s="170" t="str">
        <x:v>No chest, shoulder, elbow, upper-biceps, knee, hip or lower-back pain; no pre-session soreness</x:v>
      </x:c>
      <x:c r="J453" s="170" t="str">
        <x:v>Low final</x:v>
      </x:c>
      <x:c r="K453" s="170" t="str">
        <x:v>Good</x:v>
      </x:c>
      <x:c r="L453" s="170" t="str">
        <x:v>Target met</x:v>
      </x:c>
      <x:c r="M453" s="170" t="str">
        <x:v>Working</x:v>
      </x:c>
      <x:c r="N453" s="170" t="n">
        <x:v>2</x:v>
      </x:c>
    </x:row>
    <x:row r="454">
      <x:c r="A454" s="220" t="n">
        <x:v>46265</x:v>
      </x:c>
      <x:c r="B454" s="170" t="str">
        <x:v>Chest</x:v>
      </x:c>
      <x:c r="C454" s="170" t="str">
        <x:v>Incline Barbell Bench Press</x:v>
      </x:c>
      <x:c r="D454" s="170" t="n">
        <x:v>3</x:v>
      </x:c>
      <x:c r="E454" s="170" t="n">
        <x:v>17.5</x:v>
      </x:c>
      <x:c r="F454" s="170" t="str">
        <x:v>kg plates each side; bar excluded</x:v>
      </x:c>
      <x:c r="G454" s="170" t="n">
        <x:v>8</x:v>
      </x:c>
      <x:c r="H454" s="170" t="str">
        <x:v>Clean and unassisted; detailed bar path To verify</x:v>
      </x:c>
      <x:c r="I454" s="170" t="str">
        <x:v>No chest, shoulder, elbow, upper-biceps, knee, hip or lower-back pain; no pre-session soreness</x:v>
      </x:c>
      <x:c r="J454" s="170" t="str">
        <x:v>Low final</x:v>
      </x:c>
      <x:c r="K454" s="170" t="str">
        <x:v>Good</x:v>
      </x:c>
      <x:c r="L454" s="170" t="str">
        <x:v>New higher-load baseline at target reserve; no immediate load increase</x:v>
      </x:c>
      <x:c r="M454" s="170" t="str">
        <x:v>Working</x:v>
      </x:c>
      <x:c r="N454" s="170" t="n">
        <x:v>2</x:v>
      </x:c>
    </x:row>
    <x:row r="455">
      <x:c r="A455" s="220" t="n">
        <x:v>46265</x:v>
      </x:c>
      <x:c r="B455" s="170" t="str">
        <x:v>Chest</x:v>
      </x:c>
      <x:c r="C455" s="170" t="str">
        <x:v>Pec Deck Fly</x:v>
      </x:c>
      <x:c r="D455" s="170" t="n">
        <x:v>1</x:v>
      </x:c>
      <x:c r="E455" s="170" t="n">
        <x:v>50</x:v>
      </x:c>
      <x:c r="F455" s="170" t="str">
        <x:v>kg total stack</x:v>
      </x:c>
      <x:c r="G455" s="170" t="n">
        <x:v>13</x:v>
      </x:c>
      <x:c r="H455" s="170" t="str">
        <x:v>Clean and unassisted; relaxed-grip detail To verify; no upper-biceps pain</x:v>
      </x:c>
      <x:c r="I455" s="170" t="str">
        <x:v>No chest, shoulder, elbow, upper-biceps, knee, hip or lower-back pain; no pre-session soreness</x:v>
      </x:c>
      <x:c r="J455" s="170" t="str">
        <x:v>Low final</x:v>
      </x:c>
      <x:c r="K455" s="170" t="str">
        <x:v>Good</x:v>
      </x:c>
      <x:c r="L455" s="170" t="str">
        <x:v>Reserve improved</x:v>
      </x:c>
      <x:c r="M455" s="170" t="str">
        <x:v>Working</x:v>
      </x:c>
      <x:c r="N455" s="170" t="n">
        <x:v>3</x:v>
      </x:c>
    </x:row>
    <x:row r="456">
      <x:c r="A456" s="220" t="n">
        <x:v>46265</x:v>
      </x:c>
      <x:c r="B456" s="170" t="str">
        <x:v>Chest</x:v>
      </x:c>
      <x:c r="C456" s="170" t="str">
        <x:v>Pec Deck Fly</x:v>
      </x:c>
      <x:c r="D456" s="170" t="n">
        <x:v>2</x:v>
      </x:c>
      <x:c r="E456" s="170" t="n">
        <x:v>55</x:v>
      </x:c>
      <x:c r="F456" s="170" t="str">
        <x:v>kg total stack</x:v>
      </x:c>
      <x:c r="G456" s="170" t="n">
        <x:v>11</x:v>
      </x:c>
      <x:c r="H456" s="170" t="str">
        <x:v>Clean and unassisted; relaxed-grip detail To verify; no upper-biceps pain</x:v>
      </x:c>
      <x:c r="I456" s="170" t="str">
        <x:v>No chest, shoulder, elbow, upper-biceps, knee, hip or lower-back pain; no pre-session soreness</x:v>
      </x:c>
      <x:c r="J456" s="170" t="str">
        <x:v>Low final</x:v>
      </x:c>
      <x:c r="K456" s="170" t="str">
        <x:v>Good</x:v>
      </x:c>
      <x:c r="L456" s="170" t="str">
        <x:v>Target-quality set</x:v>
      </x:c>
      <x:c r="M456" s="170" t="str">
        <x:v>Working</x:v>
      </x:c>
      <x:c r="N456" s="170" t="n">
        <x:v>2</x:v>
      </x:c>
    </x:row>
    <x:row r="457">
      <x:c r="A457" s="220" t="n">
        <x:v>46265</x:v>
      </x:c>
      <x:c r="B457" s="170" t="str">
        <x:v>Chest</x:v>
      </x:c>
      <x:c r="C457" s="170" t="str">
        <x:v>Pec Deck Fly</x:v>
      </x:c>
      <x:c r="D457" s="170" t="n">
        <x:v>3</x:v>
      </x:c>
      <x:c r="E457" s="170" t="n">
        <x:v>60</x:v>
      </x:c>
      <x:c r="F457" s="170" t="str">
        <x:v>kg total stack</x:v>
      </x:c>
      <x:c r="G457" s="170" t="n">
        <x:v>9</x:v>
      </x:c>
      <x:c r="H457" s="170" t="str">
        <x:v>Clean and unassisted; relaxed-grip detail To verify; no upper-biceps pain</x:v>
      </x:c>
      <x:c r="I457" s="170" t="str">
        <x:v>No chest, shoulder, elbow, upper-biceps, knee, hip or lower-back pain; no pre-session soreness</x:v>
      </x:c>
      <x:c r="J457" s="170" t="str">
        <x:v>Low final</x:v>
      </x:c>
      <x:c r="K457" s="170" t="str">
        <x:v>Good</x:v>
      </x:c>
      <x:c r="L457" s="170" t="str">
        <x:v>Reserve improved from prior RIR 1; add rep before load</x:v>
      </x:c>
      <x:c r="M457" s="170" t="str">
        <x:v>Working</x:v>
      </x:c>
      <x:c r="N457" s="170" t="n">
        <x:v>2</x:v>
      </x:c>
    </x:row>
    <x:row r="458">
      <x:c r="A458" s="220" t="n">
        <x:v>46265</x:v>
      </x:c>
      <x:c r="B458" s="170" t="str">
        <x:v>Triceps</x:v>
      </x:c>
      <x:c r="C458" s="170" t="str">
        <x:v>Straight-Bar Pushdown</x:v>
      </x:c>
      <x:c r="D458" s="170" t="n">
        <x:v>1</x:v>
      </x:c>
      <x:c r="E458" s="170" t="n">
        <x:v>50</x:v>
      </x:c>
      <x:c r="F458" s="170" t="str">
        <x:v>kg total stack</x:v>
      </x:c>
      <x:c r="G458" s="170" t="n">
        <x:v>13</x:v>
      </x:c>
      <x:c r="H458" s="170" t="str">
        <x:v>Clean and unassisted; elbows fixed To verify</x:v>
      </x:c>
      <x:c r="I458" s="170" t="str">
        <x:v>No chest, shoulder, elbow, upper-biceps, knee, hip or lower-back pain; no pre-session soreness</x:v>
      </x:c>
      <x:c r="J458" s="170" t="str">
        <x:v>Low final</x:v>
      </x:c>
      <x:c r="K458" s="170" t="str">
        <x:v>Good</x:v>
      </x:c>
      <x:c r="L458" s="170" t="str">
        <x:v>Target met</x:v>
      </x:c>
      <x:c r="M458" s="170" t="str">
        <x:v>Working</x:v>
      </x:c>
      <x:c r="N458" s="170" t="n">
        <x:v>2</x:v>
      </x:c>
    </x:row>
    <x:row r="459">
      <x:c r="A459" s="220" t="n">
        <x:v>46265</x:v>
      </x:c>
      <x:c r="B459" s="170" t="str">
        <x:v>Triceps</x:v>
      </x:c>
      <x:c r="C459" s="170" t="str">
        <x:v>Straight-Bar Pushdown</x:v>
      </x:c>
      <x:c r="D459" s="170" t="n">
        <x:v>2</x:v>
      </x:c>
      <x:c r="E459" s="170" t="n">
        <x:v>55</x:v>
      </x:c>
      <x:c r="F459" s="170" t="str">
        <x:v>kg total stack</x:v>
      </x:c>
      <x:c r="G459" s="170" t="n">
        <x:v>11</x:v>
      </x:c>
      <x:c r="H459" s="170" t="str">
        <x:v>Clean and unassisted; elbows fixed To verify</x:v>
      </x:c>
      <x:c r="I459" s="170" t="str">
        <x:v>No chest, shoulder, elbow, upper-biceps, knee, hip or lower-back pain; no pre-session soreness</x:v>
      </x:c>
      <x:c r="J459" s="170" t="str">
        <x:v>Low final</x:v>
      </x:c>
      <x:c r="K459" s="170" t="str">
        <x:v>Good</x:v>
      </x:c>
      <x:c r="L459" s="170" t="str">
        <x:v>Reserve improved</x:v>
      </x:c>
      <x:c r="M459" s="170" t="str">
        <x:v>Working</x:v>
      </x:c>
      <x:c r="N459" s="170" t="n">
        <x:v>2</x:v>
      </x:c>
    </x:row>
    <x:row r="460">
      <x:c r="A460" s="220" t="n">
        <x:v>46265</x:v>
      </x:c>
      <x:c r="B460" s="170" t="str">
        <x:v>Triceps</x:v>
      </x:c>
      <x:c r="C460" s="170" t="str">
        <x:v>Straight-Bar Pushdown</x:v>
      </x:c>
      <x:c r="D460" s="170" t="n">
        <x:v>3</x:v>
      </x:c>
      <x:c r="E460" s="170" t="n">
        <x:v>60</x:v>
      </x:c>
      <x:c r="F460" s="170" t="str">
        <x:v>kg total stack</x:v>
      </x:c>
      <x:c r="G460" s="170" t="n">
        <x:v>9</x:v>
      </x:c>
      <x:c r="H460" s="170" t="str">
        <x:v>Clean and unassisted; elbows fixed To verify</x:v>
      </x:c>
      <x:c r="I460" s="170" t="str">
        <x:v>No chest, shoulder, elbow, upper-biceps, knee, hip or lower-back pain; no pre-session soreness</x:v>
      </x:c>
      <x:c r="J460" s="170" t="str">
        <x:v>Low final</x:v>
      </x:c>
      <x:c r="K460" s="170" t="str">
        <x:v>Good</x:v>
      </x:c>
      <x:c r="L460" s="170" t="str">
        <x:v>Previous RIR-1 result corrected; add rep before load</x:v>
      </x:c>
      <x:c r="M460" s="170" t="str">
        <x:v>Working</x:v>
      </x:c>
      <x:c r="N460" s="170" t="n">
        <x:v>2</x:v>
      </x:c>
    </x:row>
    <x:row r="461">
      <x:c r="A461" s="220" t="n">
        <x:v>46265</x:v>
      </x:c>
      <x:c r="B461" s="170" t="str">
        <x:v>Triceps</x:v>
      </x:c>
      <x:c r="C461" s="170" t="str">
        <x:v>Overhead Rope Extension</x:v>
      </x:c>
      <x:c r="D461" s="170" t="n">
        <x:v>1</x:v>
      </x:c>
      <x:c r="E461" s="170" t="n">
        <x:v>35</x:v>
      </x:c>
      <x:c r="F461" s="170" t="str">
        <x:v>kg total stack</x:v>
      </x:c>
      <x:c r="G461" s="170" t="n">
        <x:v>13</x:v>
      </x:c>
      <x:c r="H461" s="170" t="str">
        <x:v>Clean and unassisted; elbow/rib position To verify</x:v>
      </x:c>
      <x:c r="I461" s="170" t="str">
        <x:v>No chest, shoulder, elbow, upper-biceps, knee, hip or lower-back pain; no pre-session soreness</x:v>
      </x:c>
      <x:c r="J461" s="170" t="str">
        <x:v>Low final</x:v>
      </x:c>
      <x:c r="K461" s="170" t="str">
        <x:v>Good</x:v>
      </x:c>
      <x:c r="L461" s="170" t="str">
        <x:v>Target met</x:v>
      </x:c>
      <x:c r="M461" s="170" t="str">
        <x:v>Working</x:v>
      </x:c>
      <x:c r="N461" s="170" t="n">
        <x:v>2</x:v>
      </x:c>
    </x:row>
    <x:row r="462">
      <x:c r="A462" s="220" t="n">
        <x:v>46265</x:v>
      </x:c>
      <x:c r="B462" s="170" t="str">
        <x:v>Triceps</x:v>
      </x:c>
      <x:c r="C462" s="170" t="str">
        <x:v>Overhead Rope Extension</x:v>
      </x:c>
      <x:c r="D462" s="170" t="n">
        <x:v>2</x:v>
      </x:c>
      <x:c r="E462" s="170" t="n">
        <x:v>40</x:v>
      </x:c>
      <x:c r="F462" s="170" t="str">
        <x:v>kg total stack</x:v>
      </x:c>
      <x:c r="G462" s="170" t="n">
        <x:v>10</x:v>
      </x:c>
      <x:c r="H462" s="170" t="str">
        <x:v>Clean and unassisted; elbow/rib position To verify</x:v>
      </x:c>
      <x:c r="I462" s="170" t="str">
        <x:v>No chest, shoulder, elbow, upper-biceps, knee, hip or lower-back pain; no pre-session soreness</x:v>
      </x:c>
      <x:c r="J462" s="170" t="str">
        <x:v>Low final</x:v>
      </x:c>
      <x:c r="K462" s="170" t="str">
        <x:v>Good</x:v>
      </x:c>
      <x:c r="L462" s="170" t="str">
        <x:v>Target met</x:v>
      </x:c>
      <x:c r="M462" s="170" t="str">
        <x:v>Working</x:v>
      </x:c>
      <x:c r="N462" s="170" t="n">
        <x:v>2</x:v>
      </x:c>
    </x:row>
    <x:row r="463">
      <x:c r="A463" s="220" t="n">
        <x:v>46265</x:v>
      </x:c>
      <x:c r="B463" s="170" t="str">
        <x:v>Triceps</x:v>
      </x:c>
      <x:c r="C463" s="170" t="str">
        <x:v>Overhead Rope Extension</x:v>
      </x:c>
      <x:c r="D463" s="170" t="n">
        <x:v>3</x:v>
      </x:c>
      <x:c r="E463" s="170" t="n">
        <x:v>45</x:v>
      </x:c>
      <x:c r="F463" s="170" t="str">
        <x:v>kg total stack</x:v>
      </x:c>
      <x:c r="G463" s="170" t="n">
        <x:v>8</x:v>
      </x:c>
      <x:c r="H463" s="170" t="str">
        <x:v>Clean and unassisted; elbow/rib position To verify</x:v>
      </x:c>
      <x:c r="I463" s="170" t="str">
        <x:v>No chest, shoulder, elbow, upper-biceps, knee, hip or lower-back pain; no pre-session soreness</x:v>
      </x:c>
      <x:c r="J463" s="170" t="str">
        <x:v>Low final</x:v>
      </x:c>
      <x:c r="K463" s="170" t="str">
        <x:v>Good</x:v>
      </x:c>
      <x:c r="L463" s="170" t="str">
        <x:v>Unplanned third set beyond two-set prescription; retained without progression credit</x:v>
      </x:c>
      <x:c r="M463" s="170" t="str">
        <x:v>Working</x:v>
      </x:c>
      <x:c r="N463" s="170" t="n">
        <x:v>1</x:v>
      </x:c>
    </x:row>
    <x:row r="464">
      <x:c r="A464" s="220" t="n">
        <x:v>46265</x:v>
      </x:c>
      <x:c r="B464" s="170" t="str">
        <x:v>Triceps</x:v>
      </x:c>
      <x:c r="C464" s="170" t="str">
        <x:v>Assisted Dip</x:v>
      </x:c>
      <x:c r="D464" s="170" t="n">
        <x:v>1</x:v>
      </x:c>
      <x:c r="E464" s="170" t="n">
        <x:v>60</x:v>
      </x:c>
      <x:c r="F464" s="170" t="str">
        <x:v>kg machine assistance/support; effective resistance and machine model To verify</x:v>
      </x:c>
      <x:c r="G464" s="170" t="n">
        <x:v>12</x:v>
      </x:c>
      <x:c r="H464" s="170" t="str">
        <x:v>Machine-assisted only; no human assistance; controlled depth To verify</x:v>
      </x:c>
      <x:c r="I464" s="170" t="str">
        <x:v>No chest, shoulder, elbow, upper-biceps, knee, hip or lower-back pain; no pre-session soreness</x:v>
      </x:c>
      <x:c r="J464" s="170" t="str">
        <x:v>Low final</x:v>
      </x:c>
      <x:c r="K464" s="170" t="str">
        <x:v>Good</x:v>
      </x:c>
      <x:c r="L464" s="170" t="str">
        <x:v>Target met</x:v>
      </x:c>
      <x:c r="M464" s="170" t="str">
        <x:v>Working</x:v>
      </x:c>
      <x:c r="N464" s="170" t="n">
        <x:v>2</x:v>
      </x:c>
    </x:row>
    <x:row r="465">
      <x:c r="A465" s="220" t="n">
        <x:v>46265</x:v>
      </x:c>
      <x:c r="B465" s="170" t="str">
        <x:v>Triceps</x:v>
      </x:c>
      <x:c r="C465" s="170" t="str">
        <x:v>Assisted Dip</x:v>
      </x:c>
      <x:c r="D465" s="170" t="n">
        <x:v>2</x:v>
      </x:c>
      <x:c r="E465" s="170" t="n">
        <x:v>50</x:v>
      </x:c>
      <x:c r="F465" s="170" t="str">
        <x:v>kg machine assistance/support; effective resistance and machine model To verify</x:v>
      </x:c>
      <x:c r="G465" s="170" t="n">
        <x:v>8</x:v>
      </x:c>
      <x:c r="H465" s="170" t="str">
        <x:v>Machine-assisted only; no human assistance; controlled depth To verify</x:v>
      </x:c>
      <x:c r="I465" s="170" t="str">
        <x:v>No chest, shoulder, elbow, upper-biceps, knee, hip or lower-back pain; no pre-session soreness</x:v>
      </x:c>
      <x:c r="J465" s="170" t="str">
        <x:v>Low final</x:v>
      </x:c>
      <x:c r="K465" s="170" t="str">
        <x:v>Good</x:v>
      </x:c>
      <x:c r="L465" s="170" t="str">
        <x:v>Harder than target; keep assistance level and improve reserve</x:v>
      </x:c>
      <x:c r="M465" s="170" t="str">
        <x:v>Working</x:v>
      </x:c>
      <x:c r="N465" s="170" t="n">
        <x:v>1</x:v>
      </x:c>
    </x:row>
    <x:row r="466">
      <x:c r="A466" s="220" t="n">
        <x:v>46266</x:v>
      </x:c>
      <x:c r="B466" s="170" t="str">
        <x:v>Back</x:v>
      </x:c>
      <x:c r="C466" s="170" t="str">
        <x:v>Lat Pulldown</x:v>
      </x:c>
      <x:c r="D466" s="170" t="n">
        <x:v>1</x:v>
      </x:c>
      <x:c r="E466" s="170" t="n">
        <x:v>45</x:v>
      </x:c>
      <x:c r="F466" s="170" t="str">
        <x:v>kg total stack</x:v>
      </x:c>
      <x:c r="G466" s="170" t="n">
        <x:v>12</x:v>
      </x:c>
      <x:c r="H466" s="170" t="str">
        <x:v>Genuine low-fatigue preparation; clean and unassisted</x:v>
      </x:c>
      <x:c r="I466" s="170" t="str">
        <x:v>No back, lower-back, shoulder, elbow or biceps pain; no pre-session soreness; no pain or adverse symptoms during cardio</x:v>
      </x:c>
      <x:c r="J466" s="170" t="str">
        <x:v>Low final</x:v>
      </x:c>
      <x:c r="K466" s="170" t="str">
        <x:v>Good</x:v>
      </x:c>
      <x:c r="L466" s="170" t="str">
        <x:v>Excluded from working-set total</x:v>
      </x:c>
      <x:c r="M466" s="170" t="str">
        <x:v>Warm-up</x:v>
      </x:c>
      <x:c r="N466" s="170" t="n">
        <x:v>4</x:v>
      </x:c>
    </x:row>
    <x:row r="467">
      <x:c r="A467" s="220" t="n">
        <x:v>46266</x:v>
      </x:c>
      <x:c r="B467" s="170" t="str">
        <x:v>Back</x:v>
      </x:c>
      <x:c r="C467" s="170" t="str">
        <x:v>Lat Pulldown</x:v>
      </x:c>
      <x:c r="D467" s="170" t="n">
        <x:v>2</x:v>
      </x:c>
      <x:c r="E467" s="170" t="n">
        <x:v>50</x:v>
      </x:c>
      <x:c r="F467" s="170" t="str">
        <x:v>kg total stack</x:v>
      </x:c>
      <x:c r="G467" s="170" t="n">
        <x:v>13</x:v>
      </x:c>
      <x:c r="H467" s="170" t="str">
        <x:v>Clean and unassisted; elbow path and torso angle To verify</x:v>
      </x:c>
      <x:c r="I467" s="170" t="str">
        <x:v>No back, lower-back, shoulder, elbow or biceps pain; no pre-session soreness; no pain or adverse symptoms during cardio</x:v>
      </x:c>
      <x:c r="J467" s="170" t="str">
        <x:v>Low final</x:v>
      </x:c>
      <x:c r="K467" s="170" t="str">
        <x:v>Good</x:v>
      </x:c>
      <x:c r="L467" s="170" t="str">
        <x:v>One reserve harder than target; keep load</x:v>
      </x:c>
      <x:c r="M467" s="170" t="str">
        <x:v>Working</x:v>
      </x:c>
      <x:c r="N467" s="170" t="n">
        <x:v>2</x:v>
      </x:c>
    </x:row>
    <x:row r="468">
      <x:c r="A468" s="220" t="n">
        <x:v>46266</x:v>
      </x:c>
      <x:c r="B468" s="170" t="str">
        <x:v>Back</x:v>
      </x:c>
      <x:c r="C468" s="170" t="str">
        <x:v>Lat Pulldown</x:v>
      </x:c>
      <x:c r="D468" s="170" t="n">
        <x:v>3</x:v>
      </x:c>
      <x:c r="E468" s="170" t="n">
        <x:v>55</x:v>
      </x:c>
      <x:c r="F468" s="170" t="str">
        <x:v>kg total stack</x:v>
      </x:c>
      <x:c r="G468" s="170" t="n">
        <x:v>11</x:v>
      </x:c>
      <x:c r="H468" s="170" t="str">
        <x:v>Clean and unassisted; elbow path and torso angle To verify</x:v>
      </x:c>
      <x:c r="I468" s="170" t="str">
        <x:v>No back, lower-back, shoulder, elbow or biceps pain; no pre-session soreness; no pain or adverse symptoms during cardio</x:v>
      </x:c>
      <x:c r="J468" s="170" t="str">
        <x:v>Low final</x:v>
      </x:c>
      <x:c r="K468" s="170" t="str">
        <x:v>Good</x:v>
      </x:c>
      <x:c r="L468" s="170" t="str">
        <x:v>Target-quality set</x:v>
      </x:c>
      <x:c r="M468" s="170" t="str">
        <x:v>Working</x:v>
      </x:c>
      <x:c r="N468" s="170" t="n">
        <x:v>2</x:v>
      </x:c>
    </x:row>
    <x:row r="469">
      <x:c r="A469" s="220" t="n">
        <x:v>46266</x:v>
      </x:c>
      <x:c r="B469" s="170" t="str">
        <x:v>Back</x:v>
      </x:c>
      <x:c r="C469" s="170" t="str">
        <x:v>Lat Pulldown</x:v>
      </x:c>
      <x:c r="D469" s="170" t="n">
        <x:v>4</x:v>
      </x:c>
      <x:c r="E469" s="170" t="n">
        <x:v>60</x:v>
      </x:c>
      <x:c r="F469" s="170" t="str">
        <x:v>kg total stack</x:v>
      </x:c>
      <x:c r="G469" s="170" t="n">
        <x:v>10</x:v>
      </x:c>
      <x:c r="H469" s="170" t="str">
        <x:v>Clean and unassisted; elbow path and torso angle To verify</x:v>
      </x:c>
      <x:c r="I469" s="170" t="str">
        <x:v>No back, lower-back, shoulder, elbow or biceps pain; no pre-session soreness; no pain or adverse symptoms during cardio</x:v>
      </x:c>
      <x:c r="J469" s="170" t="str">
        <x:v>Low final</x:v>
      </x:c>
      <x:c r="K469" s="170" t="str">
        <x:v>Good</x:v>
      </x:c>
      <x:c r="L469" s="170" t="str">
        <x:v>Rep progression at retained reserve</x:v>
      </x:c>
      <x:c r="M469" s="170" t="str">
        <x:v>Working</x:v>
      </x:c>
      <x:c r="N469" s="170" t="n">
        <x:v>2</x:v>
      </x:c>
    </x:row>
    <x:row r="470">
      <x:c r="A470" s="220" t="n">
        <x:v>46266</x:v>
      </x:c>
      <x:c r="B470" s="170" t="str">
        <x:v>Back</x:v>
      </x:c>
      <x:c r="C470" s="170" t="str">
        <x:v>Seated Cable Row</x:v>
      </x:c>
      <x:c r="D470" s="170" t="n">
        <x:v>1</x:v>
      </x:c>
      <x:c r="E470" s="170" t="n">
        <x:v>45</x:v>
      </x:c>
      <x:c r="F470" s="170" t="str">
        <x:v>kg total stack</x:v>
      </x:c>
      <x:c r="G470" s="170" t="n">
        <x:v>12</x:v>
      </x:c>
      <x:c r="H470" s="170" t="str">
        <x:v>Genuine low-fatigue preparation; clean and unassisted</x:v>
      </x:c>
      <x:c r="I470" s="170" t="str">
        <x:v>No back, lower-back, shoulder, elbow or biceps pain; no pre-session soreness; no pain or adverse symptoms during cardio</x:v>
      </x:c>
      <x:c r="J470" s="170" t="str">
        <x:v>Low final</x:v>
      </x:c>
      <x:c r="K470" s="170" t="str">
        <x:v>Good</x:v>
      </x:c>
      <x:c r="L470" s="170" t="str">
        <x:v>Excluded from working-set total</x:v>
      </x:c>
      <x:c r="M470" s="170" t="str">
        <x:v>Warm-up</x:v>
      </x:c>
      <x:c r="N470" s="170" t="n">
        <x:v>4</x:v>
      </x:c>
    </x:row>
    <x:row r="471">
      <x:c r="A471" s="220" t="n">
        <x:v>46266</x:v>
      </x:c>
      <x:c r="B471" s="170" t="str">
        <x:v>Back</x:v>
      </x:c>
      <x:c r="C471" s="170" t="str">
        <x:v>Seated Cable Row</x:v>
      </x:c>
      <x:c r="D471" s="170" t="n">
        <x:v>2</x:v>
      </x:c>
      <x:c r="E471" s="170" t="n">
        <x:v>50</x:v>
      </x:c>
      <x:c r="F471" s="170" t="str">
        <x:v>kg total stack</x:v>
      </x:c>
      <x:c r="G471" s="170" t="n">
        <x:v>12</x:v>
      </x:c>
      <x:c r="H471" s="170" t="str">
        <x:v>Clean and unassisted; torso stability To verify</x:v>
      </x:c>
      <x:c r="I471" s="170" t="str">
        <x:v>No back, lower-back, shoulder, elbow or biceps pain; no pre-session soreness; no pain or adverse symptoms during cardio</x:v>
      </x:c>
      <x:c r="J471" s="170" t="str">
        <x:v>Low final</x:v>
      </x:c>
      <x:c r="K471" s="170" t="str">
        <x:v>Good</x:v>
      </x:c>
      <x:c r="L471" s="170" t="str">
        <x:v>Target met</x:v>
      </x:c>
      <x:c r="M471" s="170" t="str">
        <x:v>Working</x:v>
      </x:c>
      <x:c r="N471" s="170" t="n">
        <x:v>3</x:v>
      </x:c>
    </x:row>
    <x:row r="472">
      <x:c r="A472" s="220" t="n">
        <x:v>46266</x:v>
      </x:c>
      <x:c r="B472" s="170" t="str">
        <x:v>Back</x:v>
      </x:c>
      <x:c r="C472" s="170" t="str">
        <x:v>Seated Cable Row</x:v>
      </x:c>
      <x:c r="D472" s="170" t="n">
        <x:v>3</x:v>
      </x:c>
      <x:c r="E472" s="170" t="n">
        <x:v>55</x:v>
      </x:c>
      <x:c r="F472" s="170" t="str">
        <x:v>kg total stack</x:v>
      </x:c>
      <x:c r="G472" s="170" t="n">
        <x:v>11</x:v>
      </x:c>
      <x:c r="H472" s="170" t="str">
        <x:v>Clean and unassisted; torso stability To verify</x:v>
      </x:c>
      <x:c r="I472" s="170" t="str">
        <x:v>No back, lower-back, shoulder, elbow or biceps pain; no pre-session soreness; no pain or adverse symptoms during cardio</x:v>
      </x:c>
      <x:c r="J472" s="170" t="str">
        <x:v>Low final</x:v>
      </x:c>
      <x:c r="K472" s="170" t="str">
        <x:v>Good</x:v>
      </x:c>
      <x:c r="L472" s="170" t="str">
        <x:v>Target met</x:v>
      </x:c>
      <x:c r="M472" s="170" t="str">
        <x:v>Working</x:v>
      </x:c>
      <x:c r="N472" s="170" t="n">
        <x:v>2</x:v>
      </x:c>
    </x:row>
    <x:row r="473">
      <x:c r="A473" s="220" t="n">
        <x:v>46266</x:v>
      </x:c>
      <x:c r="B473" s="170" t="str">
        <x:v>Back</x:v>
      </x:c>
      <x:c r="C473" s="170" t="str">
        <x:v>Seated Cable Row</x:v>
      </x:c>
      <x:c r="D473" s="170" t="n">
        <x:v>4</x:v>
      </x:c>
      <x:c r="E473" s="170" t="n">
        <x:v>60</x:v>
      </x:c>
      <x:c r="F473" s="170" t="str">
        <x:v>kg total stack</x:v>
      </x:c>
      <x:c r="G473" s="170" t="n">
        <x:v>10</x:v>
      </x:c>
      <x:c r="H473" s="170" t="str">
        <x:v>Clean and unassisted; torso stability To verify</x:v>
      </x:c>
      <x:c r="I473" s="170" t="str">
        <x:v>No back, lower-back, shoulder, elbow or biceps pain; no pre-session soreness; no pain or adverse symptoms during cardio</x:v>
      </x:c>
      <x:c r="J473" s="170" t="str">
        <x:v>Low final</x:v>
      </x:c>
      <x:c r="K473" s="170" t="str">
        <x:v>Good</x:v>
      </x:c>
      <x:c r="L473" s="170" t="str">
        <x:v>Previous RIR-1 result corrected</x:v>
      </x:c>
      <x:c r="M473" s="170" t="str">
        <x:v>Working</x:v>
      </x:c>
      <x:c r="N473" s="170" t="n">
        <x:v>2</x:v>
      </x:c>
    </x:row>
    <x:row r="474">
      <x:c r="A474" s="220" t="n">
        <x:v>46266</x:v>
      </x:c>
      <x:c r="B474" s="170" t="str">
        <x:v>Back</x:v>
      </x:c>
      <x:c r="C474" s="170" t="str">
        <x:v>Chest-Supported T-Bar Row</x:v>
      </x:c>
      <x:c r="D474" s="170" t="n">
        <x:v>1</x:v>
      </x:c>
      <x:c r="E474" s="170" t="n">
        <x:v>30</x:v>
      </x:c>
      <x:c r="F474" s="170" t="str">
        <x:v>kg reported machine load; total plates/displayed resistance and starting resistance To verify</x:v>
      </x:c>
      <x:c r="G474" s="170" t="n">
        <x:v>12</x:v>
      </x:c>
      <x:c r="H474" s="170" t="str">
        <x:v>Chest supported; no reported breakdown; detailed grip/path To verify</x:v>
      </x:c>
      <x:c r="I474" s="170" t="str">
        <x:v>No back, lower-back, shoulder, elbow or biceps pain; no pre-session soreness; no pain or adverse symptoms during cardio</x:v>
      </x:c>
      <x:c r="J474" s="170" t="str">
        <x:v>Low final</x:v>
      </x:c>
      <x:c r="K474" s="170" t="str">
        <x:v>Good</x:v>
      </x:c>
      <x:c r="L474" s="170" t="str">
        <x:v>New-machine baseline; load not comparable with established row machine</x:v>
      </x:c>
      <x:c r="M474" s="170" t="str">
        <x:v>Working</x:v>
      </x:c>
      <x:c r="N474" s="170" t="n">
        <x:v>2</x:v>
      </x:c>
    </x:row>
    <x:row r="475">
      <x:c r="A475" s="220" t="n">
        <x:v>46266</x:v>
      </x:c>
      <x:c r="B475" s="170" t="str">
        <x:v>Back</x:v>
      </x:c>
      <x:c r="C475" s="170" t="str">
        <x:v>Chest-Supported T-Bar Row</x:v>
      </x:c>
      <x:c r="D475" s="170" t="n">
        <x:v>2</x:v>
      </x:c>
      <x:c r="E475" s="170" t="n">
        <x:v>40</x:v>
      </x:c>
      <x:c r="F475" s="170" t="str">
        <x:v>kg reported machine load; total plates/displayed resistance and starting resistance To verify</x:v>
      </x:c>
      <x:c r="G475" s="170" t="n">
        <x:v>10</x:v>
      </x:c>
      <x:c r="H475" s="170" t="str">
        <x:v>Chest supported; no reported breakdown; detailed grip/path To verify</x:v>
      </x:c>
      <x:c r="I475" s="170" t="str">
        <x:v>No back, lower-back, shoulder, elbow or biceps pain; no pre-session soreness; no pain or adverse symptoms during cardio</x:v>
      </x:c>
      <x:c r="J475" s="170" t="str">
        <x:v>Low final</x:v>
      </x:c>
      <x:c r="K475" s="170" t="str">
        <x:v>Good</x:v>
      </x:c>
      <x:c r="L475" s="170" t="str">
        <x:v>Too close to failure; reduce intermediate load next time</x:v>
      </x:c>
      <x:c r="M475" s="170" t="str">
        <x:v>Working</x:v>
      </x:c>
      <x:c r="N475" s="170" t="n">
        <x:v>1</x:v>
      </x:c>
    </x:row>
    <x:row r="476">
      <x:c r="A476" s="220" t="n">
        <x:v>46266</x:v>
      </x:c>
      <x:c r="B476" s="170" t="str">
        <x:v>Back</x:v>
      </x:c>
      <x:c r="C476" s="170" t="str">
        <x:v>Chest-Supported T-Bar Row</x:v>
      </x:c>
      <x:c r="D476" s="170" t="n">
        <x:v>3</x:v>
      </x:c>
      <x:c r="E476" s="170" t="n">
        <x:v>40</x:v>
      </x:c>
      <x:c r="F476" s="170" t="str">
        <x:v>kg reported machine load; total plates/displayed resistance and starting resistance To verify</x:v>
      </x:c>
      <x:c r="G476" s="170" t="n">
        <x:v>10</x:v>
      </x:c>
      <x:c r="H476" s="170" t="str">
        <x:v>Chest supported; no reported breakdown; detailed grip/path To verify</x:v>
      </x:c>
      <x:c r="I476" s="170" t="str">
        <x:v>No back, lower-back, shoulder, elbow or biceps pain; no pre-session soreness; no pain or adverse symptoms during cardio</x:v>
      </x:c>
      <x:c r="J476" s="170" t="str">
        <x:v>Low final</x:v>
      </x:c>
      <x:c r="K476" s="170" t="str">
        <x:v>Good</x:v>
      </x:c>
      <x:c r="L476" s="170" t="str">
        <x:v>Repeated RIR-1 exposure; no load progression</x:v>
      </x:c>
      <x:c r="M476" s="170" t="str">
        <x:v>Working</x:v>
      </x:c>
      <x:c r="N476" s="170" t="n">
        <x:v>1</x:v>
      </x:c>
    </x:row>
    <x:row r="477">
      <x:c r="A477" s="220" t="n">
        <x:v>46266</x:v>
      </x:c>
      <x:c r="B477" s="170" t="str">
        <x:v>Back</x:v>
      </x:c>
      <x:c r="C477" s="170" t="str">
        <x:v>Chest-Supported Row Machine</x:v>
      </x:c>
      <x:c r="D477" s="170" t="n">
        <x:v>1</x:v>
      </x:c>
      <x:c r="E477" s="170" t="n">
        <x:v>30</x:v>
      </x:c>
      <x:c r="F477" s="170" t="str">
        <x:v>kg reported established-machine load; exact plate convention To verify</x:v>
      </x:c>
      <x:c r="G477" s="170" t="n">
        <x:v>16</x:v>
      </x:c>
      <x:c r="H477" s="170" t="str">
        <x:v>Genuine preparation set; chest supported; clean and unassisted</x:v>
      </x:c>
      <x:c r="I477" s="170" t="str">
        <x:v>No back, lower-back, shoulder, elbow or biceps pain; no pre-session soreness; no pain or adverse symptoms during cardio</x:v>
      </x:c>
      <x:c r="J477" s="170" t="str">
        <x:v>Low final</x:v>
      </x:c>
      <x:c r="K477" s="170" t="str">
        <x:v>Good</x:v>
      </x:c>
      <x:c r="L477" s="170" t="str">
        <x:v>Excluded from working-set total</x:v>
      </x:c>
      <x:c r="M477" s="170" t="str">
        <x:v>Warm-up</x:v>
      </x:c>
      <x:c r="N477" s="170" t="n">
        <x:v>4</x:v>
      </x:c>
    </x:row>
    <x:row r="478">
      <x:c r="A478" s="220" t="n">
        <x:v>46266</x:v>
      </x:c>
      <x:c r="B478" s="170" t="str">
        <x:v>Back</x:v>
      </x:c>
      <x:c r="C478" s="170" t="str">
        <x:v>Chest-Supported Row Machine</x:v>
      </x:c>
      <x:c r="D478" s="170" t="n">
        <x:v>2</x:v>
      </x:c>
      <x:c r="E478" s="170" t="n">
        <x:v>40</x:v>
      </x:c>
      <x:c r="F478" s="170" t="str">
        <x:v>kg reported established-machine load; exact plate convention To verify</x:v>
      </x:c>
      <x:c r="G478" s="170" t="n">
        <x:v>15</x:v>
      </x:c>
      <x:c r="H478" s="170" t="str">
        <x:v>Chest supported; clean and unassisted</x:v>
      </x:c>
      <x:c r="I478" s="170" t="str">
        <x:v>No back, lower-back, shoulder, elbow or biceps pain; no pre-session soreness; no pain or adverse symptoms during cardio</x:v>
      </x:c>
      <x:c r="J478" s="170" t="str">
        <x:v>Low final</x:v>
      </x:c>
      <x:c r="K478" s="170" t="str">
        <x:v>Good</x:v>
      </x:c>
      <x:c r="L478" s="170" t="str">
        <x:v>Target met</x:v>
      </x:c>
      <x:c r="M478" s="170" t="str">
        <x:v>Working</x:v>
      </x:c>
      <x:c r="N478" s="170" t="n">
        <x:v>3</x:v>
      </x:c>
    </x:row>
    <x:row r="479">
      <x:c r="A479" s="220" t="n">
        <x:v>46266</x:v>
      </x:c>
      <x:c r="B479" s="170" t="str">
        <x:v>Back</x:v>
      </x:c>
      <x:c r="C479" s="170" t="str">
        <x:v>Chest-Supported Row Machine</x:v>
      </x:c>
      <x:c r="D479" s="170" t="n">
        <x:v>3</x:v>
      </x:c>
      <x:c r="E479" s="170" t="n">
        <x:v>55</x:v>
      </x:c>
      <x:c r="F479" s="170" t="str">
        <x:v>kg reported established-machine load; exact plate convention To verify</x:v>
      </x:c>
      <x:c r="G479" s="170" t="n">
        <x:v>12</x:v>
      </x:c>
      <x:c r="H479" s="170" t="str">
        <x:v>Chest supported; clean and unassisted</x:v>
      </x:c>
      <x:c r="I479" s="170" t="str">
        <x:v>No back, lower-back, shoulder, elbow or biceps pain; no pre-session soreness; no pain or adverse symptoms during cardio</x:v>
      </x:c>
      <x:c r="J479" s="170" t="str">
        <x:v>Low final</x:v>
      </x:c>
      <x:c r="K479" s="170" t="str">
        <x:v>Good</x:v>
      </x:c>
      <x:c r="L479" s="170" t="str">
        <x:v>Performed instead of 50 kg; retain as baseline</x:v>
      </x:c>
      <x:c r="M479" s="170" t="str">
        <x:v>Working</x:v>
      </x:c>
      <x:c r="N479" s="170" t="n">
        <x:v>2</x:v>
      </x:c>
    </x:row>
    <x:row r="480">
      <x:c r="A480" s="220" t="n">
        <x:v>46266</x:v>
      </x:c>
      <x:c r="B480" s="170" t="str">
        <x:v>Biceps</x:v>
      </x:c>
      <x:c r="C480" s="170" t="str">
        <x:v>Incline Dumbbell Curl</x:v>
      </x:c>
      <x:c r="D480" s="170" t="n">
        <x:v>1</x:v>
      </x:c>
      <x:c r="E480" s="170" t="n">
        <x:v>10</x:v>
      </x:c>
      <x:c r="F480" s="170" t="str">
        <x:v>kg each dumbbell</x:v>
      </x:c>
      <x:c r="G480" s="170" t="n">
        <x:v>12</x:v>
      </x:c>
      <x:c r="H480" s="170" t="str">
        <x:v>Clean and unassisted; bench angle and bottom stretch To verify</x:v>
      </x:c>
      <x:c r="I480" s="170" t="str">
        <x:v>No back, lower-back, shoulder, elbow or biceps pain; no pre-session soreness; no pain or adverse symptoms during cardio</x:v>
      </x:c>
      <x:c r="J480" s="170" t="str">
        <x:v>Low final</x:v>
      </x:c>
      <x:c r="K480" s="170" t="str">
        <x:v>Good</x:v>
      </x:c>
      <x:c r="L480" s="170" t="str">
        <x:v>7.5 kg target skipped</x:v>
      </x:c>
      <x:c r="M480" s="170" t="str">
        <x:v>Working</x:v>
      </x:c>
      <x:c r="N480" s="170" t="n">
        <x:v>2</x:v>
      </x:c>
    </x:row>
    <x:row r="481">
      <x:c r="A481" s="220" t="n">
        <x:v>46266</x:v>
      </x:c>
      <x:c r="B481" s="170" t="str">
        <x:v>Biceps</x:v>
      </x:c>
      <x:c r="C481" s="170" t="str">
        <x:v>Incline Dumbbell Curl</x:v>
      </x:c>
      <x:c r="D481" s="170" t="n">
        <x:v>2</x:v>
      </x:c>
      <x:c r="E481" s="170" t="n">
        <x:v>12.5</x:v>
      </x:c>
      <x:c r="F481" s="170" t="str">
        <x:v>kg each dumbbell</x:v>
      </x:c>
      <x:c r="G481" s="170" t="n">
        <x:v>10</x:v>
      </x:c>
      <x:c r="H481" s="170" t="str">
        <x:v>Clean and unassisted; bench angle and bottom stretch To verify</x:v>
      </x:c>
      <x:c r="I481" s="170" t="str">
        <x:v>No back, lower-back, shoulder, elbow or biceps pain; no pre-session soreness; no pain or adverse symptoms during cardio</x:v>
      </x:c>
      <x:c r="J481" s="170" t="str">
        <x:v>Low final</x:v>
      </x:c>
      <x:c r="K481" s="170" t="str">
        <x:v>Good</x:v>
      </x:c>
      <x:c r="L481" s="170" t="str">
        <x:v>Target met</x:v>
      </x:c>
      <x:c r="M481" s="170" t="str">
        <x:v>Working</x:v>
      </x:c>
      <x:c r="N481" s="170" t="n">
        <x:v>2</x:v>
      </x:c>
    </x:row>
    <x:row r="482">
      <x:c r="A482" s="220" t="n">
        <x:v>46266</x:v>
      </x:c>
      <x:c r="B482" s="170" t="str">
        <x:v>Biceps</x:v>
      </x:c>
      <x:c r="C482" s="170" t="str">
        <x:v>Incline Dumbbell Curl</x:v>
      </x:c>
      <x:c r="D482" s="170" t="n">
        <x:v>3</x:v>
      </x:c>
      <x:c r="E482" s="170" t="n">
        <x:v>15</x:v>
      </x:c>
      <x:c r="F482" s="170" t="str">
        <x:v>kg each dumbbell</x:v>
      </x:c>
      <x:c r="G482" s="170" t="n">
        <x:v>8</x:v>
      </x:c>
      <x:c r="H482" s="170" t="str">
        <x:v>Clean and unassisted; bench angle and bottom stretch To verify</x:v>
      </x:c>
      <x:c r="I482" s="170" t="str">
        <x:v>No back, lower-back, shoulder, elbow or biceps pain; no pre-session soreness; no pain or adverse symptoms during cardio</x:v>
      </x:c>
      <x:c r="J482" s="170" t="str">
        <x:v>Low final</x:v>
      </x:c>
      <x:c r="K482" s="170" t="str">
        <x:v>Good</x:v>
      </x:c>
      <x:c r="L482" s="170" t="str">
        <x:v>New heavier baseline; improve reserve before progression</x:v>
      </x:c>
      <x:c r="M482" s="170" t="str">
        <x:v>Working</x:v>
      </x:c>
      <x:c r="N482" s="170" t="n">
        <x:v>1</x:v>
      </x:c>
    </x:row>
    <x:row r="483">
      <x:c r="A483" s="220" t="n">
        <x:v>46266</x:v>
      </x:c>
      <x:c r="B483" s="170" t="str">
        <x:v>Biceps</x:v>
      </x:c>
      <x:c r="C483" s="170" t="str">
        <x:v>Hammer Curl</x:v>
      </x:c>
      <x:c r="D483" s="170" t="n">
        <x:v>1</x:v>
      </x:c>
      <x:c r="E483" s="170" t="n">
        <x:v>15</x:v>
      </x:c>
      <x:c r="F483" s="170" t="str">
        <x:v>kg each dumbbell</x:v>
      </x:c>
      <x:c r="G483" s="170" t="n">
        <x:v>12</x:v>
      </x:c>
      <x:c r="H483" s="170" t="str">
        <x:v>Clean and unassisted; neutral wrist To verify</x:v>
      </x:c>
      <x:c r="I483" s="170" t="str">
        <x:v>No back, lower-back, shoulder, elbow or biceps pain; no pre-session soreness; no pain or adverse symptoms during cardio</x:v>
      </x:c>
      <x:c r="J483" s="170" t="str">
        <x:v>Low final</x:v>
      </x:c>
      <x:c r="K483" s="170" t="str">
        <x:v>Good</x:v>
      </x:c>
      <x:c r="L483" s="170" t="str">
        <x:v>Below rep target; keep load</x:v>
      </x:c>
      <x:c r="M483" s="170" t="str">
        <x:v>Working</x:v>
      </x:c>
      <x:c r="N483" s="170" t="n">
        <x:v>2</x:v>
      </x:c>
    </x:row>
    <x:row r="484">
      <x:c r="A484" s="220" t="n">
        <x:v>46266</x:v>
      </x:c>
      <x:c r="B484" s="170" t="str">
        <x:v>Biceps</x:v>
      </x:c>
      <x:c r="C484" s="170" t="str">
        <x:v>Hammer Curl</x:v>
      </x:c>
      <x:c r="D484" s="170" t="n">
        <x:v>2</x:v>
      </x:c>
      <x:c r="E484" s="170" t="n">
        <x:v>17.5</x:v>
      </x:c>
      <x:c r="F484" s="170" t="str">
        <x:v>kg each dumbbell</x:v>
      </x:c>
      <x:c r="G484" s="170" t="n">
        <x:v>11</x:v>
      </x:c>
      <x:c r="H484" s="170" t="str">
        <x:v>Clean and unassisted; neutral wrist To verify</x:v>
      </x:c>
      <x:c r="I484" s="170" t="str">
        <x:v>No back, lower-back, shoulder, elbow or biceps pain; no pre-session soreness; no pain or adverse symptoms during cardio</x:v>
      </x:c>
      <x:c r="J484" s="170" t="str">
        <x:v>Low final</x:v>
      </x:c>
      <x:c r="K484" s="170" t="str">
        <x:v>Good</x:v>
      </x:c>
      <x:c r="L484" s="170" t="str">
        <x:v>One rep below target; keep load</x:v>
      </x:c>
      <x:c r="M484" s="170" t="str">
        <x:v>Working</x:v>
      </x:c>
      <x:c r="N484" s="170" t="n">
        <x:v>2</x:v>
      </x:c>
    </x:row>
    <x:row r="485">
      <x:c r="A485" s="220" t="n">
        <x:v>46267</x:v>
      </x:c>
      <x:c r="B485" s="170" t="str">
        <x:v>Shoulders</x:v>
      </x:c>
      <x:c r="C485" s="170" t="str">
        <x:v>Dumbbell Shoulder Press</x:v>
      </x:c>
      <x:c r="D485" s="170" t="n">
        <x:v>1</x:v>
      </x:c>
      <x:c r="E485" s="170" t="n">
        <x:v>15</x:v>
      </x:c>
      <x:c r="F485" s="170" t="str">
        <x:v>kg each dumbbell</x:v>
      </x:c>
      <x:c r="G485" s="170" t="n">
        <x:v>16</x:v>
      </x:c>
      <x:c r="H485" s="170" t="str">
        <x:v>Genuine low-fatigue preparation; clean and unassisted</x:v>
      </x:c>
      <x:c r="I485" s="170" t="str">
        <x:v>No shoulder, elbow, wrist, back or lower-back pain; no pre-session soreness; no cardio symptoms</x:v>
      </x:c>
      <x:c r="J485" s="170" t="str">
        <x:v>Medium to Low final</x:v>
      </x:c>
      <x:c r="K485" s="170" t="str">
        <x:v>Good</x:v>
      </x:c>
      <x:c r="L485" s="170" t="str">
        <x:v>Excluded from working-set total</x:v>
      </x:c>
      <x:c r="M485" s="170" t="str">
        <x:v>Warm-up</x:v>
      </x:c>
      <x:c r="N485" s="170" t="n">
        <x:v>4</x:v>
      </x:c>
    </x:row>
    <x:row r="486">
      <x:c r="A486" s="220" t="n">
        <x:v>46267</x:v>
      </x:c>
      <x:c r="B486" s="170" t="str">
        <x:v>Shoulders</x:v>
      </x:c>
      <x:c r="C486" s="170" t="str">
        <x:v>Dumbbell Shoulder Press</x:v>
      </x:c>
      <x:c r="D486" s="170" t="n">
        <x:v>2</x:v>
      </x:c>
      <x:c r="E486" s="170" t="n">
        <x:v>17.5</x:v>
      </x:c>
      <x:c r="F486" s="170" t="str">
        <x:v>kg each dumbbell</x:v>
      </x:c>
      <x:c r="G486" s="170" t="n">
        <x:v>15</x:v>
      </x:c>
      <x:c r="H486" s="170" t="str">
        <x:v>Clean and unassisted; controlled path reported</x:v>
      </x:c>
      <x:c r="I486" s="170" t="str">
        <x:v>No shoulder, elbow, wrist, back or lower-back pain; no pre-session soreness; no cardio symptoms</x:v>
      </x:c>
      <x:c r="J486" s="170" t="str">
        <x:v>Medium to Low final</x:v>
      </x:c>
      <x:c r="K486" s="170" t="str">
        <x:v>Good</x:v>
      </x:c>
      <x:c r="L486" s="170" t="str">
        <x:v>Working-set progression; fourth press set later exceeded plan</x:v>
      </x:c>
      <x:c r="M486" s="170" t="str">
        <x:v>Working</x:v>
      </x:c>
      <x:c r="N486" s="170" t="n">
        <x:v>3</x:v>
      </x:c>
    </x:row>
    <x:row r="487">
      <x:c r="A487" s="220" t="n">
        <x:v>46267</x:v>
      </x:c>
      <x:c r="B487" s="170" t="str">
        <x:v>Shoulders</x:v>
      </x:c>
      <x:c r="C487" s="170" t="str">
        <x:v>Dumbbell Shoulder Press</x:v>
      </x:c>
      <x:c r="D487" s="170" t="n">
        <x:v>3</x:v>
      </x:c>
      <x:c r="E487" s="170" t="n">
        <x:v>20</x:v>
      </x:c>
      <x:c r="F487" s="170" t="str">
        <x:v>kg each dumbbell</x:v>
      </x:c>
      <x:c r="G487" s="170" t="n">
        <x:v>13</x:v>
      </x:c>
      <x:c r="H487" s="170" t="str">
        <x:v>Clean and unassisted; controlled path reported</x:v>
      </x:c>
      <x:c r="I487" s="170" t="str">
        <x:v>No shoulder, elbow, wrist, back or lower-back pain; no pre-session soreness; no cardio symptoms</x:v>
      </x:c>
      <x:c r="J487" s="170" t="str">
        <x:v>Medium to Low final</x:v>
      </x:c>
      <x:c r="K487" s="170" t="str">
        <x:v>Good</x:v>
      </x:c>
      <x:c r="L487" s="170" t="str">
        <x:v>Target-quality set</x:v>
      </x:c>
      <x:c r="M487" s="170" t="str">
        <x:v>Working</x:v>
      </x:c>
      <x:c r="N487" s="170" t="n">
        <x:v>2</x:v>
      </x:c>
    </x:row>
    <x:row r="488">
      <x:c r="A488" s="220" t="n">
        <x:v>46267</x:v>
      </x:c>
      <x:c r="B488" s="170" t="str">
        <x:v>Shoulders</x:v>
      </x:c>
      <x:c r="C488" s="170" t="str">
        <x:v>Dumbbell Shoulder Press</x:v>
      </x:c>
      <x:c r="D488" s="170" t="n">
        <x:v>4</x:v>
      </x:c>
      <x:c r="E488" s="170" t="n">
        <x:v>22.5</x:v>
      </x:c>
      <x:c r="F488" s="170" t="str">
        <x:v>kg each dumbbell</x:v>
      </x:c>
      <x:c r="G488" s="170" t="n">
        <x:v>11</x:v>
      </x:c>
      <x:c r="H488" s="170" t="str">
        <x:v>Clean and unassisted; controlled path reported</x:v>
      </x:c>
      <x:c r="I488" s="170" t="str">
        <x:v>No shoulder, elbow, wrist, back or lower-back pain; no pre-session soreness; no cardio symptoms</x:v>
      </x:c>
      <x:c r="J488" s="170" t="str">
        <x:v>Medium to Low final</x:v>
      </x:c>
      <x:c r="K488" s="170" t="str">
        <x:v>Good</x:v>
      </x:c>
      <x:c r="L488" s="170" t="str">
        <x:v>Target-quality set</x:v>
      </x:c>
      <x:c r="M488" s="170" t="str">
        <x:v>Working</x:v>
      </x:c>
      <x:c r="N488" s="170" t="n">
        <x:v>2</x:v>
      </x:c>
    </x:row>
    <x:row r="489">
      <x:c r="A489" s="220" t="n">
        <x:v>46267</x:v>
      </x:c>
      <x:c r="B489" s="170" t="str">
        <x:v>Shoulders</x:v>
      </x:c>
      <x:c r="C489" s="170" t="str">
        <x:v>Dumbbell Shoulder Press</x:v>
      </x:c>
      <x:c r="D489" s="170" t="n">
        <x:v>5</x:v>
      </x:c>
      <x:c r="E489" s="170" t="n">
        <x:v>25</x:v>
      </x:c>
      <x:c r="F489" s="170" t="str">
        <x:v>kg each dumbbell</x:v>
      </x:c>
      <x:c r="G489" s="170" t="n">
        <x:v>9</x:v>
      </x:c>
      <x:c r="H489" s="170" t="str">
        <x:v>Clean and unassisted; controlled path reported</x:v>
      </x:c>
      <x:c r="I489" s="170" t="str">
        <x:v>No shoulder, elbow, wrist, back or lower-back pain; no pre-session soreness; no cardio symptoms</x:v>
      </x:c>
      <x:c r="J489" s="170" t="str">
        <x:v>Medium to Low final</x:v>
      </x:c>
      <x:c r="K489" s="170" t="str">
        <x:v>Good</x:v>
      </x:c>
      <x:c r="L489" s="170" t="str">
        <x:v>Improved from 8 @ RIR 1; extra fourth working press set, no load progression</x:v>
      </x:c>
      <x:c r="M489" s="170" t="str">
        <x:v>Working</x:v>
      </x:c>
      <x:c r="N489" s="170" t="n">
        <x:v>2</x:v>
      </x:c>
    </x:row>
    <x:row r="490">
      <x:c r="A490" s="220" t="n">
        <x:v>46267</x:v>
      </x:c>
      <x:c r="B490" s="170" t="str">
        <x:v>Shoulders</x:v>
      </x:c>
      <x:c r="C490" s="170" t="str">
        <x:v>Plate-Loaded Lateral Raise Machine</x:v>
      </x:c>
      <x:c r="D490" s="170" t="n">
        <x:v>1</x:v>
      </x:c>
      <x:c r="E490" s="170" t="n">
        <x:v>2.5</x:v>
      </x:c>
      <x:c r="F490" s="170" t="str">
        <x:v>kg plate each side; unloaded resistance To verify</x:v>
      </x:c>
      <x:c r="G490" s="170" t="n">
        <x:v>20</x:v>
      </x:c>
      <x:c r="H490" s="170" t="str">
        <x:v>Clean and unassisted; no shrug/form detail To verify</x:v>
      </x:c>
      <x:c r="I490" s="170" t="str">
        <x:v>No shoulder, elbow, wrist, back or lower-back pain; no pre-session soreness; no cardio symptoms</x:v>
      </x:c>
      <x:c r="J490" s="170" t="str">
        <x:v>Medium to Low final</x:v>
      </x:c>
      <x:c r="K490" s="170" t="str">
        <x:v>Good</x:v>
      </x:c>
      <x:c r="L490" s="170" t="str">
        <x:v>Target met</x:v>
      </x:c>
      <x:c r="M490" s="170" t="str">
        <x:v>Working</x:v>
      </x:c>
      <x:c r="N490" s="170" t="n">
        <x:v>3</x:v>
      </x:c>
    </x:row>
    <x:row r="491">
      <x:c r="A491" s="220" t="n">
        <x:v>46267</x:v>
      </x:c>
      <x:c r="B491" s="170" t="str">
        <x:v>Shoulders</x:v>
      </x:c>
      <x:c r="C491" s="170" t="str">
        <x:v>Plate-Loaded Lateral Raise Machine</x:v>
      </x:c>
      <x:c r="D491" s="170" t="n">
        <x:v>2</x:v>
      </x:c>
      <x:c r="E491" s="170" t="n">
        <x:v>5</x:v>
      </x:c>
      <x:c r="F491" s="170" t="str">
        <x:v>kg plate each side; unloaded resistance To verify</x:v>
      </x:c>
      <x:c r="G491" s="170" t="n">
        <x:v>15</x:v>
      </x:c>
      <x:c r="H491" s="170" t="str">
        <x:v>Clean and unassisted; no shrug/form detail To verify</x:v>
      </x:c>
      <x:c r="I491" s="170" t="str">
        <x:v>No shoulder, elbow, wrist, back or lower-back pain; no pre-session soreness; no cardio symptoms</x:v>
      </x:c>
      <x:c r="J491" s="170" t="str">
        <x:v>Medium to Low final</x:v>
      </x:c>
      <x:c r="K491" s="170" t="str">
        <x:v>Good</x:v>
      </x:c>
      <x:c r="L491" s="170" t="str">
        <x:v>Retain load</x:v>
      </x:c>
      <x:c r="M491" s="170" t="str">
        <x:v>Working</x:v>
      </x:c>
      <x:c r="N491" s="170" t="n">
        <x:v>2</x:v>
      </x:c>
    </x:row>
    <x:row r="492">
      <x:c r="A492" s="220" t="n">
        <x:v>46267</x:v>
      </x:c>
      <x:c r="B492" s="170" t="str">
        <x:v>Shoulders</x:v>
      </x:c>
      <x:c r="C492" s="170" t="str">
        <x:v>Plate-Loaded Lateral Raise Machine</x:v>
      </x:c>
      <x:c r="D492" s="170" t="n">
        <x:v>3</x:v>
      </x:c>
      <x:c r="E492" s="170" t="n">
        <x:v>7.5</x:v>
      </x:c>
      <x:c r="F492" s="170" t="str">
        <x:v>kg plate each side; unloaded resistance To verify</x:v>
      </x:c>
      <x:c r="G492" s="170" t="n">
        <x:v>8</x:v>
      </x:c>
      <x:c r="H492" s="170" t="str">
        <x:v>Clean and unassisted; no shrug/form detail To verify</x:v>
      </x:c>
      <x:c r="I492" s="170" t="str">
        <x:v>No shoulder, elbow, wrist, back or lower-back pain; no pre-session soreness; no cardio symptoms</x:v>
      </x:c>
      <x:c r="J492" s="170" t="str">
        <x:v>Medium to Low final</x:v>
      </x:c>
      <x:c r="K492" s="170" t="str">
        <x:v>Good</x:v>
      </x:c>
      <x:c r="L492" s="170" t="str">
        <x:v>New heavier baseline; no load increase</x:v>
      </x:c>
      <x:c r="M492" s="170" t="str">
        <x:v>Working</x:v>
      </x:c>
      <x:c r="N492" s="170" t="n">
        <x:v>2</x:v>
      </x:c>
    </x:row>
    <x:row r="493">
      <x:c r="A493" s="220" t="n">
        <x:v>46267</x:v>
      </x:c>
      <x:c r="B493" s="170" t="str">
        <x:v>Shoulders</x:v>
      </x:c>
      <x:c r="C493" s="170" t="str">
        <x:v>Reverse Pec Deck</x:v>
      </x:c>
      <x:c r="D493" s="170" t="n">
        <x:v>1</x:v>
      </x:c>
      <x:c r="E493" s="170" t="n">
        <x:v>30</x:v>
      </x:c>
      <x:c r="F493" s="170" t="str">
        <x:v>kg total stack</x:v>
      </x:c>
      <x:c r="G493" s="170" t="n">
        <x:v>15</x:v>
      </x:c>
      <x:c r="H493" s="170" t="str">
        <x:v>Clean and unassisted; chest contact/path To verify</x:v>
      </x:c>
      <x:c r="I493" s="170" t="str">
        <x:v>No shoulder, elbow, wrist, back or lower-back pain; no pre-session soreness; no cardio symptoms</x:v>
      </x:c>
      <x:c r="J493" s="170" t="str">
        <x:v>Medium to Low final</x:v>
      </x:c>
      <x:c r="K493" s="170" t="str">
        <x:v>Good</x:v>
      </x:c>
      <x:c r="L493" s="170" t="str">
        <x:v>Target-quality set</x:v>
      </x:c>
      <x:c r="M493" s="170" t="str">
        <x:v>Working</x:v>
      </x:c>
      <x:c r="N493" s="170" t="n">
        <x:v>2</x:v>
      </x:c>
    </x:row>
    <x:row r="494">
      <x:c r="A494" s="220" t="n">
        <x:v>46267</x:v>
      </x:c>
      <x:c r="B494" s="170" t="str">
        <x:v>Shoulders</x:v>
      </x:c>
      <x:c r="C494" s="170" t="str">
        <x:v>Reverse Pec Deck</x:v>
      </x:c>
      <x:c r="D494" s="170" t="n">
        <x:v>2</x:v>
      </x:c>
      <x:c r="E494" s="170" t="n">
        <x:v>35</x:v>
      </x:c>
      <x:c r="F494" s="170" t="str">
        <x:v>kg total stack</x:v>
      </x:c>
      <x:c r="G494" s="170" t="n">
        <x:v>13</x:v>
      </x:c>
      <x:c r="H494" s="170" t="str">
        <x:v>Clean and unassisted; chest contact/path To verify</x:v>
      </x:c>
      <x:c r="I494" s="170" t="str">
        <x:v>No shoulder, elbow, wrist, back or lower-back pain; no pre-session soreness; no cardio symptoms</x:v>
      </x:c>
      <x:c r="J494" s="170" t="str">
        <x:v>Medium to Low final</x:v>
      </x:c>
      <x:c r="K494" s="170" t="str">
        <x:v>Good</x:v>
      </x:c>
      <x:c r="L494" s="170" t="str">
        <x:v>Target-quality set</x:v>
      </x:c>
      <x:c r="M494" s="170" t="str">
        <x:v>Working</x:v>
      </x:c>
      <x:c r="N494" s="170" t="n">
        <x:v>2</x:v>
      </x:c>
    </x:row>
    <x:row r="495">
      <x:c r="A495" s="220" t="n">
        <x:v>46267</x:v>
      </x:c>
      <x:c r="B495" s="170" t="str">
        <x:v>Shoulders</x:v>
      </x:c>
      <x:c r="C495" s="170" t="str">
        <x:v>Reverse Pec Deck</x:v>
      </x:c>
      <x:c r="D495" s="170" t="n">
        <x:v>3</x:v>
      </x:c>
      <x:c r="E495" s="170" t="n">
        <x:v>40</x:v>
      </x:c>
      <x:c r="F495" s="170" t="str">
        <x:v>kg total stack</x:v>
      </x:c>
      <x:c r="G495" s="170" t="n">
        <x:v>9</x:v>
      </x:c>
      <x:c r="H495" s="170" t="str">
        <x:v>Clean and unassisted; chest contact/path To verify</x:v>
      </x:c>
      <x:c r="I495" s="170" t="str">
        <x:v>No shoulder, elbow, wrist, back or lower-back pain; no pre-session soreness; no cardio symptoms</x:v>
      </x:c>
      <x:c r="J495" s="170" t="str">
        <x:v>Medium to Low final</x:v>
      </x:c>
      <x:c r="K495" s="170" t="str">
        <x:v>Good</x:v>
      </x:c>
      <x:c r="L495" s="170" t="str">
        <x:v>New higher-load baseline; third set exceeded live two-set reduction</x:v>
      </x:c>
      <x:c r="M495" s="170" t="str">
        <x:v>Working</x:v>
      </x:c>
      <x:c r="N495" s="170" t="n">
        <x:v>2</x:v>
      </x:c>
    </x:row>
    <x:row r="496">
      <x:c r="A496" s="220" t="n">
        <x:v>46267</x:v>
      </x:c>
      <x:c r="B496" s="170" t="str">
        <x:v>Triceps</x:v>
      </x:c>
      <x:c r="C496" s="170" t="str">
        <x:v>Rope Pushdown</x:v>
      </x:c>
      <x:c r="D496" s="170" t="n">
        <x:v>1</x:v>
      </x:c>
      <x:c r="E496" s="170" t="n">
        <x:v>30</x:v>
      </x:c>
      <x:c r="F496" s="170" t="str">
        <x:v>kg total stack</x:v>
      </x:c>
      <x:c r="G496" s="170" t="n">
        <x:v>17</x:v>
      </x:c>
      <x:c r="H496" s="170" t="str">
        <x:v>Clean and unassisted; elbows fixed To verify</x:v>
      </x:c>
      <x:c r="I496" s="170" t="str">
        <x:v>No shoulder, elbow, wrist, back or lower-back pain; no pre-session soreness; no cardio symptoms</x:v>
      </x:c>
      <x:c r="J496" s="170" t="str">
        <x:v>Medium to Low final</x:v>
      </x:c>
      <x:c r="K496" s="170" t="str">
        <x:v>Good</x:v>
      </x:c>
      <x:c r="L496" s="170" t="str">
        <x:v>Target met</x:v>
      </x:c>
      <x:c r="M496" s="170" t="str">
        <x:v>Working</x:v>
      </x:c>
      <x:c r="N496" s="170" t="n">
        <x:v>3</x:v>
      </x:c>
    </x:row>
    <x:row r="497">
      <x:c r="A497" s="220" t="n">
        <x:v>46267</x:v>
      </x:c>
      <x:c r="B497" s="170" t="str">
        <x:v>Triceps</x:v>
      </x:c>
      <x:c r="C497" s="170" t="str">
        <x:v>Rope Pushdown</x:v>
      </x:c>
      <x:c r="D497" s="170" t="n">
        <x:v>2</x:v>
      </x:c>
      <x:c r="E497" s="170" t="n">
        <x:v>35</x:v>
      </x:c>
      <x:c r="F497" s="170" t="str">
        <x:v>kg total stack</x:v>
      </x:c>
      <x:c r="G497" s="170" t="n">
        <x:v>13</x:v>
      </x:c>
      <x:c r="H497" s="170" t="str">
        <x:v>Clean and unassisted; elbows fixed To verify</x:v>
      </x:c>
      <x:c r="I497" s="170" t="str">
        <x:v>No shoulder, elbow, wrist, back or lower-back pain; no pre-session soreness; no cardio symptoms</x:v>
      </x:c>
      <x:c r="J497" s="170" t="str">
        <x:v>Medium to Low final</x:v>
      </x:c>
      <x:c r="K497" s="170" t="str">
        <x:v>Good</x:v>
      </x:c>
      <x:c r="L497" s="170" t="str">
        <x:v>Target met</x:v>
      </x:c>
      <x:c r="M497" s="170" t="str">
        <x:v>Working</x:v>
      </x:c>
      <x:c r="N497" s="170" t="n">
        <x:v>2</x:v>
      </x:c>
    </x:row>
    <x:row r="498">
      <x:c r="A498" s="220" t="n">
        <x:v>46267</x:v>
      </x:c>
      <x:c r="B498" s="170" t="str">
        <x:v>Triceps</x:v>
      </x:c>
      <x:c r="C498" s="170" t="str">
        <x:v>Rope Pushdown</x:v>
      </x:c>
      <x:c r="D498" s="170" t="n">
        <x:v>3</x:v>
      </x:c>
      <x:c r="E498" s="170" t="n">
        <x:v>40</x:v>
      </x:c>
      <x:c r="F498" s="170" t="str">
        <x:v>kg total stack</x:v>
      </x:c>
      <x:c r="G498" s="170" t="n">
        <x:v>10</x:v>
      </x:c>
      <x:c r="H498" s="170" t="str">
        <x:v>Clean and unassisted; elbows fixed To verify</x:v>
      </x:c>
      <x:c r="I498" s="170" t="str">
        <x:v>No shoulder, elbow, wrist, back or lower-back pain; no pre-session soreness; no cardio symptoms</x:v>
      </x:c>
      <x:c r="J498" s="170" t="str">
        <x:v>Medium to Low final</x:v>
      </x:c>
      <x:c r="K498" s="170" t="str">
        <x:v>Good</x:v>
      </x:c>
      <x:c r="L498" s="170" t="str">
        <x:v>Retain load</x:v>
      </x:c>
      <x:c r="M498" s="170" t="str">
        <x:v>Working</x:v>
      </x:c>
      <x:c r="N498" s="170" t="n">
        <x:v>2</x:v>
      </x:c>
    </x:row>
    <x:row r="499">
      <x:c r="A499" s="220" t="n">
        <x:v>46267</x:v>
      </x:c>
      <x:c r="B499" s="170" t="str">
        <x:v>Triceps</x:v>
      </x:c>
      <x:c r="C499" s="170" t="str">
        <x:v>Single-Arm Cable Pushdown</x:v>
      </x:c>
      <x:c r="D499" s="170" t="n">
        <x:v>1</x:v>
      </x:c>
      <x:c r="E499" s="170" t="n">
        <x:v>5</x:v>
      </x:c>
      <x:c r="F499" s="170" t="str">
        <x:v>kg stack setting each arm</x:v>
      </x:c>
      <x:c r="G499" s="170" t="n">
        <x:v>20</x:v>
      </x:c>
      <x:c r="H499" s="170" t="str">
        <x:v>Clean and unassisted; both arms completed; side difference To verify</x:v>
      </x:c>
      <x:c r="I499" s="170" t="str">
        <x:v>No shoulder, elbow, wrist, back or lower-back pain; no pre-session soreness; no cardio symptoms</x:v>
      </x:c>
      <x:c r="J499" s="170" t="str">
        <x:v>Medium to Low final</x:v>
      </x:c>
      <x:c r="K499" s="170" t="str">
        <x:v>Good</x:v>
      </x:c>
      <x:c r="L499" s="170" t="str">
        <x:v>Target met</x:v>
      </x:c>
      <x:c r="M499" s="170" t="str">
        <x:v>Working</x:v>
      </x:c>
      <x:c r="N499" s="170" t="n">
        <x:v>3</x:v>
      </x:c>
    </x:row>
    <x:row r="500">
      <x:c r="A500" s="220" t="n">
        <x:v>46267</x:v>
      </x:c>
      <x:c r="B500" s="170" t="str">
        <x:v>Triceps</x:v>
      </x:c>
      <x:c r="C500" s="170" t="str">
        <x:v>Single-Arm Cable Pushdown</x:v>
      </x:c>
      <x:c r="D500" s="170" t="n">
        <x:v>2</x:v>
      </x:c>
      <x:c r="E500" s="170" t="n">
        <x:v>10</x:v>
      </x:c>
      <x:c r="F500" s="170" t="str">
        <x:v>kg stack setting each arm</x:v>
      </x:c>
      <x:c r="G500" s="170" t="n">
        <x:v>15</x:v>
      </x:c>
      <x:c r="H500" s="170" t="str">
        <x:v>Clean and unassisted; both arms completed; side difference To verify</x:v>
      </x:c>
      <x:c r="I500" s="170" t="str">
        <x:v>No shoulder, elbow, wrist, back or lower-back pain; no pre-session soreness; no cardio symptoms</x:v>
      </x:c>
      <x:c r="J500" s="170" t="str">
        <x:v>Medium to Low final</x:v>
      </x:c>
      <x:c r="K500" s="170" t="str">
        <x:v>Good</x:v>
      </x:c>
      <x:c r="L500" s="170" t="str">
        <x:v>Target met</x:v>
      </x:c>
      <x:c r="M500" s="170" t="str">
        <x:v>Working</x:v>
      </x:c>
      <x:c r="N500" s="170" t="n">
        <x:v>2</x:v>
      </x:c>
    </x:row>
    <x:row r="501">
      <x:c r="A501" s="220" t="n">
        <x:v>46267</x:v>
      </x:c>
      <x:c r="B501" s="170" t="str">
        <x:v>Triceps</x:v>
      </x:c>
      <x:c r="C501" s="170" t="str">
        <x:v>Single-Arm Cable Pushdown</x:v>
      </x:c>
      <x:c r="D501" s="170" t="n">
        <x:v>3</x:v>
      </x:c>
      <x:c r="E501" s="170" t="n">
        <x:v>15</x:v>
      </x:c>
      <x:c r="F501" s="170" t="str">
        <x:v>kg stack setting each arm</x:v>
      </x:c>
      <x:c r="G501" s="170" t="n">
        <x:v>12</x:v>
      </x:c>
      <x:c r="H501" s="170" t="str">
        <x:v>Clean and unassisted; both arms completed; side difference To verify</x:v>
      </x:c>
      <x:c r="I501" s="170" t="str">
        <x:v>No shoulder, elbow, wrist, back or lower-back pain; no pre-session soreness; no cardio symptoms</x:v>
      </x:c>
      <x:c r="J501" s="170" t="str">
        <x:v>Medium to Low final</x:v>
      </x:c>
      <x:c r="K501" s="170" t="str">
        <x:v>Good</x:v>
      </x:c>
      <x:c r="L501" s="170" t="str">
        <x:v>Rep progression; retain load</x:v>
      </x:c>
      <x:c r="M501" s="170" t="str">
        <x:v>Working</x:v>
      </x:c>
      <x:c r="N501" s="170" t="n">
        <x:v>2</x:v>
      </x:c>
    </x:row>
    <x:row r="502">
      <x:c r="A502" s="220" t="n">
        <x:v>46267</x:v>
      </x:c>
      <x:c r="B502" s="170" t="str">
        <x:v>Triceps</x:v>
      </x:c>
      <x:c r="C502" s="170" t="str">
        <x:v>Seated Two-Hand Overhead Dumbbell Extension</x:v>
      </x:c>
      <x:c r="D502" s="170" t="n">
        <x:v>1</x:v>
      </x:c>
      <x:c r="E502" s="170" t="n">
        <x:v>20</x:v>
      </x:c>
      <x:c r="F502" s="170" t="str">
        <x:v>kg one dumbbell held with both hands</x:v>
      </x:c>
      <x:c r="G502" s="170" t="n">
        <x:v>15</x:v>
      </x:c>
      <x:c r="H502" s="170" t="str">
        <x:v>Clean and unassisted; seated setup and elbow path To verify</x:v>
      </x:c>
      <x:c r="I502" s="170" t="str">
        <x:v>No shoulder, elbow, wrist, back or lower-back pain; no pre-session soreness; no cardio symptoms</x:v>
      </x:c>
      <x:c r="J502" s="170" t="str">
        <x:v>Medium to Low final</x:v>
      </x:c>
      <x:c r="K502" s="170" t="str">
        <x:v>Good</x:v>
      </x:c>
      <x:c r="L502" s="170" t="str">
        <x:v>Target met</x:v>
      </x:c>
      <x:c r="M502" s="170" t="str">
        <x:v>Working</x:v>
      </x:c>
      <x:c r="N502" s="170" t="n">
        <x:v>3</x:v>
      </x:c>
    </x:row>
    <x:row r="503">
      <x:c r="A503" s="220" t="n">
        <x:v>46267</x:v>
      </x:c>
      <x:c r="B503" s="170" t="str">
        <x:v>Triceps</x:v>
      </x:c>
      <x:c r="C503" s="170" t="str">
        <x:v>Seated Two-Hand Overhead Dumbbell Extension</x:v>
      </x:c>
      <x:c r="D503" s="170" t="n">
        <x:v>2</x:v>
      </x:c>
      <x:c r="E503" s="170" t="n">
        <x:v>25</x:v>
      </x:c>
      <x:c r="F503" s="170" t="str">
        <x:v>kg one dumbbell held with both hands</x:v>
      </x:c>
      <x:c r="G503" s="170" t="n">
        <x:v>12</x:v>
      </x:c>
      <x:c r="H503" s="170" t="str">
        <x:v>Clean and unassisted; seated setup and elbow path To verify</x:v>
      </x:c>
      <x:c r="I503" s="170" t="str">
        <x:v>No shoulder, elbow, wrist, back or lower-back pain; no pre-session soreness; no cardio symptoms</x:v>
      </x:c>
      <x:c r="J503" s="170" t="str">
        <x:v>Medium to Low final</x:v>
      </x:c>
      <x:c r="K503" s="170" t="str">
        <x:v>Good</x:v>
      </x:c>
      <x:c r="L503" s="170" t="str">
        <x:v>Added beyond live one-set instruction</x:v>
      </x:c>
      <x:c r="M503" s="170" t="str">
        <x:v>Working</x:v>
      </x:c>
      <x:c r="N503" s="170" t="n">
        <x:v>2</x:v>
      </x:c>
    </x:row>
    <x:row r="504">
      <x:c r="A504" s="220" t="n">
        <x:v>46267</x:v>
      </x:c>
      <x:c r="B504" s="170" t="str">
        <x:v>Triceps</x:v>
      </x:c>
      <x:c r="C504" s="170" t="str">
        <x:v>Seated Two-Hand Overhead Dumbbell Extension</x:v>
      </x:c>
      <x:c r="D504" s="170" t="n">
        <x:v>3</x:v>
      </x:c>
      <x:c r="E504" s="170" t="n">
        <x:v>30</x:v>
      </x:c>
      <x:c r="F504" s="170" t="str">
        <x:v>kg one dumbbell held with both hands</x:v>
      </x:c>
      <x:c r="G504" s="170" t="n">
        <x:v>7</x:v>
      </x:c>
      <x:c r="H504" s="170" t="str">
        <x:v>Clean and unassisted; seated setup and elbow path To verify</x:v>
      </x:c>
      <x:c r="I504" s="170" t="str">
        <x:v>No shoulder, elbow, wrist, back or lower-back pain; no pre-session soreness; no cardio symptoms</x:v>
      </x:c>
      <x:c r="J504" s="170" t="str">
        <x:v>Medium to Low final</x:v>
      </x:c>
      <x:c r="K504" s="170" t="str">
        <x:v>Good</x:v>
      </x:c>
      <x:c r="L504" s="170" t="str">
        <x:v>New heavy baseline; extra volume receives no automatic progression credit</x:v>
      </x:c>
      <x:c r="M504" s="170" t="str">
        <x:v>Working</x:v>
      </x:c>
      <x:c r="N504" s="170" t="n">
        <x:v>2</x:v>
      </x:c>
    </x:row>
    <x:row r="505">
      <x:c r="A505" s="220" t="n">
        <x:v>46268</x:v>
      </x:c>
      <x:c r="B505" s="170" t="str">
        <x:v>Legs</x:v>
      </x:c>
      <x:c r="C505" s="170" t="str">
        <x:v>Hack Squat</x:v>
      </x:c>
      <x:c r="D505" s="170" t="n">
        <x:v>1</x:v>
      </x:c>
      <x:c r="E505" s="170" t="n">
        <x:v>35</x:v>
      </x:c>
      <x:c r="F505" s="170" t="str">
        <x:v>kg plates each side; machine carriage excluded</x:v>
      </x:c>
      <x:c r="G505" s="170" t="n">
        <x:v>15</x:v>
      </x:c>
      <x:c r="H505" s="170" t="str">
        <x:v>Clean and unassisted; depth and knee tracking To verify</x:v>
      </x:c>
      <x:c r="I505" s="170" t="str">
        <x:v>No hip, knee, lower-back or other pain; no pre-session soreness</x:v>
      </x:c>
      <x:c r="J505" s="170" t="str">
        <x:v>Low final</x:v>
      </x:c>
      <x:c r="K505" s="170" t="str">
        <x:v>Good</x:v>
      </x:c>
      <x:c r="L505" s="170" t="str">
        <x:v>Target met</x:v>
      </x:c>
      <x:c r="M505" s="170" t="str">
        <x:v>Working</x:v>
      </x:c>
      <x:c r="N505" s="170" t="n">
        <x:v>3</x:v>
      </x:c>
    </x:row>
    <x:row r="506">
      <x:c r="A506" s="220" t="n">
        <x:v>46268</x:v>
      </x:c>
      <x:c r="B506" s="170" t="str">
        <x:v>Legs</x:v>
      </x:c>
      <x:c r="C506" s="170" t="str">
        <x:v>Hack Squat</x:v>
      </x:c>
      <x:c r="D506" s="170" t="n">
        <x:v>2</x:v>
      </x:c>
      <x:c r="E506" s="170" t="n">
        <x:v>45</x:v>
      </x:c>
      <x:c r="F506" s="170" t="str">
        <x:v>kg plates each side; machine carriage excluded</x:v>
      </x:c>
      <x:c r="G506" s="170" t="n">
        <x:v>12</x:v>
      </x:c>
      <x:c r="H506" s="170" t="str">
        <x:v>Clean and unassisted; depth and knee tracking To verify</x:v>
      </x:c>
      <x:c r="I506" s="170" t="str">
        <x:v>No hip, knee, lower-back or other pain; no pre-session soreness</x:v>
      </x:c>
      <x:c r="J506" s="170" t="str">
        <x:v>Low final</x:v>
      </x:c>
      <x:c r="K506" s="170" t="str">
        <x:v>Good</x:v>
      </x:c>
      <x:c r="L506" s="170" t="str">
        <x:v>Target met</x:v>
      </x:c>
      <x:c r="M506" s="170" t="str">
        <x:v>Working</x:v>
      </x:c>
      <x:c r="N506" s="170" t="n">
        <x:v>3</x:v>
      </x:c>
    </x:row>
    <x:row r="507">
      <x:c r="A507" s="220" t="n">
        <x:v>46268</x:v>
      </x:c>
      <x:c r="B507" s="170" t="str">
        <x:v>Legs</x:v>
      </x:c>
      <x:c r="C507" s="170" t="str">
        <x:v>Hack Squat</x:v>
      </x:c>
      <x:c r="D507" s="170" t="n">
        <x:v>3</x:v>
      </x:c>
      <x:c r="E507" s="170" t="n">
        <x:v>55</x:v>
      </x:c>
      <x:c r="F507" s="170" t="str">
        <x:v>kg plates each side; machine carriage excluded</x:v>
      </x:c>
      <x:c r="G507" s="170" t="n">
        <x:v>10</x:v>
      </x:c>
      <x:c r="H507" s="170" t="str">
        <x:v>Clean and unassisted; depth and knee tracking To verify</x:v>
      </x:c>
      <x:c r="I507" s="170" t="str">
        <x:v>No hip, knee, lower-back or other pain; no pre-session soreness</x:v>
      </x:c>
      <x:c r="J507" s="170" t="str">
        <x:v>Low final</x:v>
      </x:c>
      <x:c r="K507" s="170" t="str">
        <x:v>Good</x:v>
      </x:c>
      <x:c r="L507" s="170" t="str">
        <x:v>Target-quality set</x:v>
      </x:c>
      <x:c r="M507" s="170" t="str">
        <x:v>Working</x:v>
      </x:c>
      <x:c r="N507" s="170" t="n">
        <x:v>2</x:v>
      </x:c>
    </x:row>
    <x:row r="508">
      <x:c r="A508" s="220" t="n">
        <x:v>46268</x:v>
      </x:c>
      <x:c r="B508" s="170" t="str">
        <x:v>Legs</x:v>
      </x:c>
      <x:c r="C508" s="170" t="str">
        <x:v>Hack Squat</x:v>
      </x:c>
      <x:c r="D508" s="170" t="n">
        <x:v>4</x:v>
      </x:c>
      <x:c r="E508" s="170" t="n">
        <x:v>65</x:v>
      </x:c>
      <x:c r="F508" s="170" t="str">
        <x:v>kg plates each side; machine carriage excluded</x:v>
      </x:c>
      <x:c r="G508" s="170" t="n">
        <x:v>8</x:v>
      </x:c>
      <x:c r="H508" s="170" t="str">
        <x:v>Clean and unassisted; depth and knee tracking To verify</x:v>
      </x:c>
      <x:c r="I508" s="170" t="str">
        <x:v>No hip, knee, lower-back or other pain; no pre-session soreness</x:v>
      </x:c>
      <x:c r="J508" s="170" t="str">
        <x:v>Low final</x:v>
      </x:c>
      <x:c r="K508" s="170" t="str">
        <x:v>Good</x:v>
      </x:c>
      <x:c r="L508" s="170" t="str">
        <x:v>One rep below prior session; hold load</x:v>
      </x:c>
      <x:c r="M508" s="170" t="str">
        <x:v>Working</x:v>
      </x:c>
      <x:c r="N508" s="170" t="n">
        <x:v>2</x:v>
      </x:c>
    </x:row>
    <x:row r="509">
      <x:c r="A509" s="220" t="n">
        <x:v>46268</x:v>
      </x:c>
      <x:c r="B509" s="170" t="str">
        <x:v>Legs</x:v>
      </x:c>
      <x:c r="C509" s="170" t="str">
        <x:v>Leg Press</x:v>
      </x:c>
      <x:c r="D509" s="170" t="n">
        <x:v>1</x:v>
      </x:c>
      <x:c r="E509" s="170" t="n">
        <x:v>100</x:v>
      </x:c>
      <x:c r="F509" s="170" t="str">
        <x:v>kg total displayed load</x:v>
      </x:c>
      <x:c r="G509" s="170" t="n">
        <x:v>15</x:v>
      </x:c>
      <x:c r="H509" s="170" t="str">
        <x:v>Clean and unassisted; hips and depth To verify</x:v>
      </x:c>
      <x:c r="I509" s="170" t="str">
        <x:v>No hip, knee, lower-back or other pain; no pre-session soreness</x:v>
      </x:c>
      <x:c r="J509" s="170" t="str">
        <x:v>Low final</x:v>
      </x:c>
      <x:c r="K509" s="170" t="str">
        <x:v>Good</x:v>
      </x:c>
      <x:c r="L509" s="170" t="str">
        <x:v>Target met</x:v>
      </x:c>
      <x:c r="M509" s="170" t="str">
        <x:v>Working</x:v>
      </x:c>
      <x:c r="N509" s="170" t="n">
        <x:v>3</x:v>
      </x:c>
    </x:row>
    <x:row r="510">
      <x:c r="A510" s="220" t="n">
        <x:v>46268</x:v>
      </x:c>
      <x:c r="B510" s="170" t="str">
        <x:v>Legs</x:v>
      </x:c>
      <x:c r="C510" s="170" t="str">
        <x:v>Leg Press</x:v>
      </x:c>
      <x:c r="D510" s="170" t="n">
        <x:v>2</x:v>
      </x:c>
      <x:c r="E510" s="170" t="n">
        <x:v>120</x:v>
      </x:c>
      <x:c r="F510" s="170" t="str">
        <x:v>kg total displayed load</x:v>
      </x:c>
      <x:c r="G510" s="170" t="n">
        <x:v>12</x:v>
      </x:c>
      <x:c r="H510" s="170" t="str">
        <x:v>Clean and unassisted; hips and depth To verify</x:v>
      </x:c>
      <x:c r="I510" s="170" t="str">
        <x:v>No hip, knee, lower-back or other pain; no pre-session soreness</x:v>
      </x:c>
      <x:c r="J510" s="170" t="str">
        <x:v>Low final</x:v>
      </x:c>
      <x:c r="K510" s="170" t="str">
        <x:v>Good</x:v>
      </x:c>
      <x:c r="L510" s="170" t="str">
        <x:v>Target met</x:v>
      </x:c>
      <x:c r="M510" s="170" t="str">
        <x:v>Working</x:v>
      </x:c>
      <x:c r="N510" s="170" t="n">
        <x:v>2</x:v>
      </x:c>
    </x:row>
    <x:row r="511">
      <x:c r="A511" s="220" t="n">
        <x:v>46268</x:v>
      </x:c>
      <x:c r="B511" s="170" t="str">
        <x:v>Legs</x:v>
      </x:c>
      <x:c r="C511" s="170" t="str">
        <x:v>Leg Press</x:v>
      </x:c>
      <x:c r="D511" s="170" t="n">
        <x:v>3</x:v>
      </x:c>
      <x:c r="E511" s="170" t="n">
        <x:v>140</x:v>
      </x:c>
      <x:c r="F511" s="170" t="str">
        <x:v>kg total displayed load</x:v>
      </x:c>
      <x:c r="G511" s="170" t="n">
        <x:v>10</x:v>
      </x:c>
      <x:c r="H511" s="170" t="str">
        <x:v>Clean and unassisted; hips and depth To verify</x:v>
      </x:c>
      <x:c r="I511" s="170" t="str">
        <x:v>No hip, knee, lower-back or other pain; no pre-session soreness</x:v>
      </x:c>
      <x:c r="J511" s="170" t="str">
        <x:v>Low final</x:v>
      </x:c>
      <x:c r="K511" s="170" t="str">
        <x:v>Good</x:v>
      </x:c>
      <x:c r="L511" s="170" t="str">
        <x:v>Too close to failure; improve reserve</x:v>
      </x:c>
      <x:c r="M511" s="170" t="str">
        <x:v>Working</x:v>
      </x:c>
      <x:c r="N511" s="170" t="n">
        <x:v>1</x:v>
      </x:c>
    </x:row>
    <x:row r="512">
      <x:c r="A512" s="220" t="n">
        <x:v>46268</x:v>
      </x:c>
      <x:c r="B512" s="170" t="str">
        <x:v>Legs</x:v>
      </x:c>
      <x:c r="C512" s="170" t="str">
        <x:v>Leg Press</x:v>
      </x:c>
      <x:c r="D512" s="170" t="n">
        <x:v>4</x:v>
      </x:c>
      <x:c r="E512" s="170" t="n">
        <x:v>160</x:v>
      </x:c>
      <x:c r="F512" s="170" t="str">
        <x:v>kg total displayed load</x:v>
      </x:c>
      <x:c r="G512" s="170" t="n">
        <x:v>7</x:v>
      </x:c>
      <x:c r="H512" s="170" t="str">
        <x:v>All seven reps unassisted; detailed depth To verify</x:v>
      </x:c>
      <x:c r="I512" s="170" t="str">
        <x:v>No hip, knee, lower-back or other pain; no pre-session soreness</x:v>
      </x:c>
      <x:c r="J512" s="170" t="str">
        <x:v>Low final</x:v>
      </x:c>
      <x:c r="K512" s="170" t="str">
        <x:v>Good</x:v>
      </x:c>
      <x:c r="L512" s="170" t="str">
        <x:v>Improved from five clean plus two assisted; extra fourth set receives no progression credit</x:v>
      </x:c>
      <x:c r="M512" s="170" t="str">
        <x:v>Working</x:v>
      </x:c>
      <x:c r="N512" s="170" t="n">
        <x:v>1</x:v>
      </x:c>
    </x:row>
    <x:row r="513">
      <x:c r="A513" s="220" t="n">
        <x:v>46268</x:v>
      </x:c>
      <x:c r="B513" s="170" t="str">
        <x:v>Legs</x:v>
      </x:c>
      <x:c r="C513" s="170" t="str">
        <x:v>Dumbbell Romanian Deadlift</x:v>
      </x:c>
      <x:c r="D513" s="170" t="n">
        <x:v>1</x:v>
      </x:c>
      <x:c r="E513" s="170" t="n">
        <x:v>10</x:v>
      </x:c>
      <x:c r="F513" s="170" t="str">
        <x:v>kg each dumbbell</x:v>
      </x:c>
      <x:c r="G513" s="170" t="n">
        <x:v>15</x:v>
      </x:c>
      <x:c r="H513" s="170" t="str">
        <x:v>No pain; hamstrings felt but not strongly; hinge detail To verify</x:v>
      </x:c>
      <x:c r="I513" s="170" t="str">
        <x:v>No hip, knee, lower-back or other pain; no pre-session soreness</x:v>
      </x:c>
      <x:c r="J513" s="170" t="str">
        <x:v>Low final</x:v>
      </x:c>
      <x:c r="K513" s="170" t="str">
        <x:v>Good</x:v>
      </x:c>
      <x:c r="L513" s="170" t="str">
        <x:v>Target met</x:v>
      </x:c>
      <x:c r="M513" s="170" t="str">
        <x:v>Working</x:v>
      </x:c>
      <x:c r="N513" s="170" t="n">
        <x:v>3</x:v>
      </x:c>
    </x:row>
    <x:row r="514">
      <x:c r="A514" s="220" t="n">
        <x:v>46268</x:v>
      </x:c>
      <x:c r="B514" s="170" t="str">
        <x:v>Legs</x:v>
      </x:c>
      <x:c r="C514" s="170" t="str">
        <x:v>Dumbbell Romanian Deadlift</x:v>
      </x:c>
      <x:c r="D514" s="170" t="n">
        <x:v>2</x:v>
      </x:c>
      <x:c r="E514" s="170" t="n">
        <x:v>12.5</x:v>
      </x:c>
      <x:c r="F514" s="170" t="str">
        <x:v>kg each dumbbell</x:v>
      </x:c>
      <x:c r="G514" s="170" t="n">
        <x:v>12</x:v>
      </x:c>
      <x:c r="H514" s="170" t="str">
        <x:v>No pain; hamstrings felt but not strongly; hinge detail To verify</x:v>
      </x:c>
      <x:c r="I514" s="170" t="str">
        <x:v>No hip, knee, lower-back or other pain; no pre-session soreness</x:v>
      </x:c>
      <x:c r="J514" s="170" t="str">
        <x:v>Low final</x:v>
      </x:c>
      <x:c r="K514" s="170" t="str">
        <x:v>Good</x:v>
      </x:c>
      <x:c r="L514" s="170" t="str">
        <x:v>Target met</x:v>
      </x:c>
      <x:c r="M514" s="170" t="str">
        <x:v>Working</x:v>
      </x:c>
      <x:c r="N514" s="170" t="n">
        <x:v>3</x:v>
      </x:c>
    </x:row>
    <x:row r="515">
      <x:c r="A515" s="220" t="n">
        <x:v>46268</x:v>
      </x:c>
      <x:c r="B515" s="170" t="str">
        <x:v>Legs</x:v>
      </x:c>
      <x:c r="C515" s="170" t="str">
        <x:v>Dumbbell Romanian Deadlift</x:v>
      </x:c>
      <x:c r="D515" s="170" t="n">
        <x:v>3</x:v>
      </x:c>
      <x:c r="E515" s="170" t="n">
        <x:v>17.5</x:v>
      </x:c>
      <x:c r="F515" s="170" t="str">
        <x:v>kg each dumbbell; 15 kg unavailable</x:v>
      </x:c>
      <x:c r="G515" s="170" t="n">
        <x:v>9</x:v>
      </x:c>
      <x:c r="H515" s="170" t="str">
        <x:v>No pain; hamstrings felt but not strongly; hinge detail To verify</x:v>
      </x:c>
      <x:c r="I515" s="170" t="str">
        <x:v>No hip, knee, lower-back or other pain; no pre-session soreness</x:v>
      </x:c>
      <x:c r="J515" s="170" t="str">
        <x:v>Low final</x:v>
      </x:c>
      <x:c r="K515" s="170" t="str">
        <x:v>Good</x:v>
      </x:c>
      <x:c r="L515" s="170" t="str">
        <x:v>Equipment-availability substitution; not a progression target</x:v>
      </x:c>
      <x:c r="M515" s="170" t="str">
        <x:v>Working</x:v>
      </x:c>
      <x:c r="N515" s="170" t="n">
        <x:v>2</x:v>
      </x:c>
    </x:row>
    <x:row r="516">
      <x:c r="A516" s="220" t="n">
        <x:v>46268</x:v>
      </x:c>
      <x:c r="B516" s="170" t="str">
        <x:v>Legs</x:v>
      </x:c>
      <x:c r="C516" s="170" t="str">
        <x:v>Leg Curl</x:v>
      </x:c>
      <x:c r="D516" s="170" t="n">
        <x:v>1</x:v>
      </x:c>
      <x:c r="E516" s="170" t="n">
        <x:v>30</x:v>
      </x:c>
      <x:c r="F516" s="170" t="str">
        <x:v>kg total stack</x:v>
      </x:c>
      <x:c r="G516" s="170" t="n">
        <x:v>14</x:v>
      </x:c>
      <x:c r="H516" s="170" t="str">
        <x:v>Clean and unassisted; range/eccentric To verify</x:v>
      </x:c>
      <x:c r="I516" s="170" t="str">
        <x:v>No hip, knee, lower-back or other pain; no pre-session soreness</x:v>
      </x:c>
      <x:c r="J516" s="170" t="str">
        <x:v>Low final</x:v>
      </x:c>
      <x:c r="K516" s="170" t="str">
        <x:v>Good</x:v>
      </x:c>
      <x:c r="L516" s="170" t="str">
        <x:v>One reserve harder than target</x:v>
      </x:c>
      <x:c r="M516" s="170" t="str">
        <x:v>Working</x:v>
      </x:c>
      <x:c r="N516" s="170" t="n">
        <x:v>2</x:v>
      </x:c>
    </x:row>
    <x:row r="517">
      <x:c r="A517" s="220" t="n">
        <x:v>46268</x:v>
      </x:c>
      <x:c r="B517" s="170" t="str">
        <x:v>Legs</x:v>
      </x:c>
      <x:c r="C517" s="170" t="str">
        <x:v>Leg Curl</x:v>
      </x:c>
      <x:c r="D517" s="170" t="n">
        <x:v>2</x:v>
      </x:c>
      <x:c r="E517" s="170" t="n">
        <x:v>35</x:v>
      </x:c>
      <x:c r="F517" s="170" t="str">
        <x:v>kg total stack</x:v>
      </x:c>
      <x:c r="G517" s="170" t="n">
        <x:v>9</x:v>
      </x:c>
      <x:c r="H517" s="170" t="str">
        <x:v>Clean and unassisted; range/eccentric To verify</x:v>
      </x:c>
      <x:c r="I517" s="170" t="str">
        <x:v>No hip, knee, lower-back or other pain; no pre-session soreness</x:v>
      </x:c>
      <x:c r="J517" s="170" t="str">
        <x:v>Low final</x:v>
      </x:c>
      <x:c r="K517" s="170" t="str">
        <x:v>Good</x:v>
      </x:c>
      <x:c r="L517" s="170" t="str">
        <x:v>Repeated RIR 1; no load or set increase</x:v>
      </x:c>
      <x:c r="M517" s="170" t="str">
        <x:v>Working</x:v>
      </x:c>
      <x:c r="N517" s="170" t="n">
        <x:v>1</x:v>
      </x:c>
    </x:row>
    <x:row r="518">
      <x:c r="A518" s="220" t="n">
        <x:v>46268</x:v>
      </x:c>
      <x:c r="B518" s="170" t="str">
        <x:v>Legs</x:v>
      </x:c>
      <x:c r="C518" s="170" t="str">
        <x:v>Leg Extension</x:v>
      </x:c>
      <x:c r="D518" s="170" t="n">
        <x:v>1</x:v>
      </x:c>
      <x:c r="E518" s="170" t="n">
        <x:v>40</x:v>
      </x:c>
      <x:c r="F518" s="170" t="str">
        <x:v>kg total stack</x:v>
      </x:c>
      <x:c r="G518" s="170" t="n">
        <x:v>15</x:v>
      </x:c>
      <x:c r="H518" s="170" t="str">
        <x:v>Clean and unassisted; controlled eccentric To verify</x:v>
      </x:c>
      <x:c r="I518" s="170" t="str">
        <x:v>No hip, knee, lower-back or other pain; no pre-session soreness</x:v>
      </x:c>
      <x:c r="J518" s="170" t="str">
        <x:v>Low final</x:v>
      </x:c>
      <x:c r="K518" s="170" t="str">
        <x:v>Good</x:v>
      </x:c>
      <x:c r="L518" s="170" t="str">
        <x:v>Target met</x:v>
      </x:c>
      <x:c r="M518" s="170" t="str">
        <x:v>Working</x:v>
      </x:c>
      <x:c r="N518" s="170" t="n">
        <x:v>3</x:v>
      </x:c>
    </x:row>
    <x:row r="519">
      <x:c r="A519" s="220" t="n">
        <x:v>46268</x:v>
      </x:c>
      <x:c r="B519" s="170" t="str">
        <x:v>Legs</x:v>
      </x:c>
      <x:c r="C519" s="170" t="str">
        <x:v>Leg Extension</x:v>
      </x:c>
      <x:c r="D519" s="170" t="n">
        <x:v>2</x:v>
      </x:c>
      <x:c r="E519" s="170" t="n">
        <x:v>45</x:v>
      </x:c>
      <x:c r="F519" s="170" t="str">
        <x:v>kg total stack</x:v>
      </x:c>
      <x:c r="G519" s="170" t="n">
        <x:v>13</x:v>
      </x:c>
      <x:c r="H519" s="170" t="str">
        <x:v>Clean and unassisted; controlled eccentric To verify</x:v>
      </x:c>
      <x:c r="I519" s="170" t="str">
        <x:v>No hip, knee, lower-back or other pain; no pre-session soreness</x:v>
      </x:c>
      <x:c r="J519" s="170" t="str">
        <x:v>Low final</x:v>
      </x:c>
      <x:c r="K519" s="170" t="str">
        <x:v>Good</x:v>
      </x:c>
      <x:c r="L519" s="170" t="str">
        <x:v>Retain load and add rep</x:v>
      </x:c>
      <x:c r="M519" s="170" t="str">
        <x:v>Working</x:v>
      </x:c>
      <x:c r="N519" s="170" t="n">
        <x:v>2</x:v>
      </x:c>
    </x:row>
    <x:row r="520">
      <x:c r="A520" s="220" t="n">
        <x:v>46268</x:v>
      </x:c>
      <x:c r="B520" s="170" t="str">
        <x:v>Legs</x:v>
      </x:c>
      <x:c r="C520" s="170" t="str">
        <x:v>Leg Extension</x:v>
      </x:c>
      <x:c r="D520" s="170" t="n">
        <x:v>3</x:v>
      </x:c>
      <x:c r="E520" s="170" t="n">
        <x:v>50</x:v>
      </x:c>
      <x:c r="F520" s="170" t="str">
        <x:v>kg total stack</x:v>
      </x:c>
      <x:c r="G520" s="170" t="n">
        <x:v>11</x:v>
      </x:c>
      <x:c r="H520" s="170" t="str">
        <x:v>Clean and unassisted; controlled eccentric To verify</x:v>
      </x:c>
      <x:c r="I520" s="170" t="str">
        <x:v>No hip, knee, lower-back or other pain; no pre-session soreness</x:v>
      </x:c>
      <x:c r="J520" s="170" t="str">
        <x:v>Low final</x:v>
      </x:c>
      <x:c r="K520" s="170" t="str">
        <x:v>Good</x:v>
      </x:c>
      <x:c r="L520" s="170" t="str">
        <x:v>Retain load and add rep</x:v>
      </x:c>
      <x:c r="M520" s="170" t="str">
        <x:v>Working</x:v>
      </x:c>
      <x:c r="N520" s="170" t="n">
        <x:v>2</x:v>
      </x:c>
    </x:row>
    <x:row r="521">
      <x:c r="A521" s="220" t="n">
        <x:v>46268</x:v>
      </x:c>
      <x:c r="B521" s="170" t="str">
        <x:v>Legs</x:v>
      </x:c>
      <x:c r="C521" s="170" t="str">
        <x:v>Standing Calf Raise</x:v>
      </x:c>
      <x:c r="D521" s="170" t="n">
        <x:v>1</x:v>
      </x:c>
      <x:c r="E521" s="170" t="n">
        <x:v>10</x:v>
      </x:c>
      <x:c r="F521" s="170" t="str">
        <x:v>kg plates each side on guided bar; bar excluded</x:v>
      </x:c>
      <x:c r="G521" s="170" t="n">
        <x:v>22</x:v>
      </x:c>
      <x:c r="H521" s="170" t="str">
        <x:v>Clean and unassisted; stretch and top pause To verify</x:v>
      </x:c>
      <x:c r="I521" s="170" t="str">
        <x:v>No hip, knee, lower-back or other pain; no pre-session soreness</x:v>
      </x:c>
      <x:c r="J521" s="170" t="str">
        <x:v>Low final</x:v>
      </x:c>
      <x:c r="K521" s="170" t="str">
        <x:v>Good</x:v>
      </x:c>
      <x:c r="L521" s="170" t="str">
        <x:v>Target met</x:v>
      </x:c>
      <x:c r="M521" s="170" t="str">
        <x:v>Working</x:v>
      </x:c>
      <x:c r="N521" s="170" t="n">
        <x:v>3</x:v>
      </x:c>
    </x:row>
    <x:row r="522">
      <x:c r="A522" s="220" t="n">
        <x:v>46268</x:v>
      </x:c>
      <x:c r="B522" s="170" t="str">
        <x:v>Legs</x:v>
      </x:c>
      <x:c r="C522" s="170" t="str">
        <x:v>Standing Calf Raise</x:v>
      </x:c>
      <x:c r="D522" s="170" t="n">
        <x:v>2</x:v>
      </x:c>
      <x:c r="E522" s="170" t="n">
        <x:v>20</x:v>
      </x:c>
      <x:c r="F522" s="170" t="str">
        <x:v>kg plates each side on guided bar; bar excluded</x:v>
      </x:c>
      <x:c r="G522" s="170" t="n">
        <x:v>17</x:v>
      </x:c>
      <x:c r="H522" s="170" t="str">
        <x:v>Clean and unassisted; stretch and top pause To verify</x:v>
      </x:c>
      <x:c r="I522" s="170" t="str">
        <x:v>No hip, knee, lower-back or other pain; no pre-session soreness</x:v>
      </x:c>
      <x:c r="J522" s="170" t="str">
        <x:v>Low final</x:v>
      </x:c>
      <x:c r="K522" s="170" t="str">
        <x:v>Good</x:v>
      </x:c>
      <x:c r="L522" s="170" t="str">
        <x:v>Target met; two sets because fourth leg-press set consumed budget</x:v>
      </x:c>
      <x:c r="M522" s="170" t="str">
        <x:v>Working</x:v>
      </x:c>
      <x:c r="N522" s="170" t="n">
        <x:v>2</x:v>
      </x:c>
    </x:row>
    <x:row r="523" ht="42" customHeight="1">
      <x:c r="A523" s="220" t="n">
        <x:v>46269</x:v>
      </x:c>
      <x:c r="B523" s="170" t="str">
        <x:v>Chest + Shoulders</x:v>
      </x:c>
      <x:c r="C523" s="170" t="str">
        <x:v>Plate-Loaded Chest Press</x:v>
      </x:c>
      <x:c r="D523" s="170" t="n">
        <x:v>1</x:v>
      </x:c>
      <x:c r="E523" s="170" t="n">
        <x:v>20</x:v>
      </x:c>
      <x:c r="F523" s="170" t="str">
        <x:v>kg reported plate load; total vs per side To verify</x:v>
      </x:c>
      <x:c r="G523" s="170" t="n">
        <x:v>15</x:v>
      </x:c>
      <x:c r="H523" s="170" t="str">
        <x:v>No reported form breakdown; machine setup/range To verify</x:v>
      </x:c>
      <x:c r="I523" s="170" t="str">
        <x:v>No post-session chest, shoulder, elbow, wrist or upper-biceps pain; no upright-row shoulder pinching; pre-session soreness/pain To verify</x:v>
      </x:c>
      <x:c r="J523" s="170" t="str">
        <x:v>Medium to Low final; starting energy To verify</x:v>
      </x:c>
      <x:c r="K523" s="170" t="str">
        <x:v>Good</x:v>
      </x:c>
      <x:c r="L523" s="170" t="str">
        <x:v>Low-fatigue preparation</x:v>
      </x:c>
      <x:c r="M523" s="170" t="str">
        <x:v>Preparation</x:v>
      </x:c>
      <x:c r="N523" s="170" t="n">
        <x:v>5</x:v>
      </x:c>
    </x:row>
    <x:row r="524" ht="42" customHeight="1">
      <x:c r="A524" s="220" t="n">
        <x:v>46269</x:v>
      </x:c>
      <x:c r="B524" s="170" t="str">
        <x:v>Chest + Shoulders</x:v>
      </x:c>
      <x:c r="C524" s="170" t="str">
        <x:v>Plate-Loaded Chest Press</x:v>
      </x:c>
      <x:c r="D524" s="170" t="n">
        <x:v>2</x:v>
      </x:c>
      <x:c r="E524" s="170" t="n">
        <x:v>30</x:v>
      </x:c>
      <x:c r="F524" s="170" t="str">
        <x:v>kg reported plate load; total vs per side To verify</x:v>
      </x:c>
      <x:c r="G524" s="170" t="n">
        <x:v>15</x:v>
      </x:c>
      <x:c r="H524" s="170" t="str">
        <x:v>Clean and unassisted; machine setup/range To verify</x:v>
      </x:c>
      <x:c r="I524" s="170" t="str">
        <x:v>No post-session chest, shoulder, elbow, wrist or upper-biceps pain; no upright-row shoulder pinching; pre-session soreness/pain To verify</x:v>
      </x:c>
      <x:c r="J524" s="170" t="str">
        <x:v>Medium to Low final; starting energy To verify</x:v>
      </x:c>
      <x:c r="K524" s="170" t="str">
        <x:v>Good</x:v>
      </x:c>
      <x:c r="L524" s="170" t="str">
        <x:v>Target met</x:v>
      </x:c>
      <x:c r="M524" s="170" t="str">
        <x:v>Working</x:v>
      </x:c>
      <x:c r="N524" s="170" t="n">
        <x:v>3</x:v>
      </x:c>
    </x:row>
    <x:row r="525" ht="42" customHeight="1">
      <x:c r="A525" s="220" t="n">
        <x:v>46269</x:v>
      </x:c>
      <x:c r="B525" s="170" t="str">
        <x:v>Chest + Shoulders</x:v>
      </x:c>
      <x:c r="C525" s="170" t="str">
        <x:v>Plate-Loaded Chest Press</x:v>
      </x:c>
      <x:c r="D525" s="170" t="n">
        <x:v>3</x:v>
      </x:c>
      <x:c r="E525" s="170" t="n">
        <x:v>40</x:v>
      </x:c>
      <x:c r="F525" s="170" t="str">
        <x:v>kg reported plate load; total vs per side To verify</x:v>
      </x:c>
      <x:c r="G525" s="170" t="n">
        <x:v>13</x:v>
      </x:c>
      <x:c r="H525" s="170" t="str">
        <x:v>Clean and unassisted; machine setup/range To verify</x:v>
      </x:c>
      <x:c r="I525" s="170" t="str">
        <x:v>No post-session chest, shoulder, elbow, wrist or upper-biceps pain; no upright-row shoulder pinching; pre-session soreness/pain To verify</x:v>
      </x:c>
      <x:c r="J525" s="170" t="str">
        <x:v>Medium to Low final; starting energy To verify</x:v>
      </x:c>
      <x:c r="K525" s="170" t="str">
        <x:v>Good</x:v>
      </x:c>
      <x:c r="L525" s="170" t="str">
        <x:v>Improved reserve; add reps before load</x:v>
      </x:c>
      <x:c r="M525" s="170" t="str">
        <x:v>Working</x:v>
      </x:c>
      <x:c r="N525" s="170" t="n">
        <x:v>3</x:v>
      </x:c>
    </x:row>
    <x:row r="526" ht="42" customHeight="1">
      <x:c r="A526" s="220" t="n">
        <x:v>46269</x:v>
      </x:c>
      <x:c r="B526" s="170" t="str">
        <x:v>Chest + Shoulders</x:v>
      </x:c>
      <x:c r="C526" s="170" t="str">
        <x:v>Plate-Loaded Chest Press</x:v>
      </x:c>
      <x:c r="D526" s="170" t="n">
        <x:v>4</x:v>
      </x:c>
      <x:c r="E526" s="170" t="n">
        <x:v>50</x:v>
      </x:c>
      <x:c r="F526" s="170" t="str">
        <x:v>kg reported plate load; total vs per side To verify</x:v>
      </x:c>
      <x:c r="G526" s="170" t="n">
        <x:v>9</x:v>
      </x:c>
      <x:c r="H526" s="170" t="str">
        <x:v>Clean and unassisted; machine setup/range To verify</x:v>
      </x:c>
      <x:c r="I526" s="170" t="str">
        <x:v>No post-session chest, shoulder, elbow, wrist or upper-biceps pain; no upright-row shoulder pinching; pre-session soreness/pain To verify</x:v>
      </x:c>
      <x:c r="J526" s="170" t="str">
        <x:v>Medium to Low final; starting energy To verify</x:v>
      </x:c>
      <x:c r="K526" s="170" t="str">
        <x:v>Good</x:v>
      </x:c>
      <x:c r="L526" s="170" t="str">
        <x:v>Current top-set baseline; verify load basis</x:v>
      </x:c>
      <x:c r="M526" s="170" t="str">
        <x:v>Working</x:v>
      </x:c>
      <x:c r="N526" s="170" t="n">
        <x:v>2</x:v>
      </x:c>
    </x:row>
    <x:row r="527" ht="42" customHeight="1">
      <x:c r="A527" s="220" t="n">
        <x:v>46269</x:v>
      </x:c>
      <x:c r="B527" s="170" t="str">
        <x:v>Chest + Shoulders</x:v>
      </x:c>
      <x:c r="C527" s="170" t="str">
        <x:v>Incline Dumbbell Press</x:v>
      </x:c>
      <x:c r="D527" s="170" t="n">
        <x:v>1</x:v>
      </x:c>
      <x:c r="E527" s="170" t="n">
        <x:v>20</x:v>
      </x:c>
      <x:c r="F527" s="170" t="str">
        <x:v>kg each dumbbell</x:v>
      </x:c>
      <x:c r="G527" s="170" t="n">
        <x:v>15</x:v>
      </x:c>
      <x:c r="H527" s="170" t="str">
        <x:v>Clean and unassisted; bench angle To verify</x:v>
      </x:c>
      <x:c r="I527" s="170" t="str">
        <x:v>No post-session chest, shoulder, elbow, wrist or upper-biceps pain; no upright-row shoulder pinching; pre-session soreness/pain To verify</x:v>
      </x:c>
      <x:c r="J527" s="170" t="str">
        <x:v>Medium to Low final; starting energy To verify</x:v>
      </x:c>
      <x:c r="K527" s="170" t="str">
        <x:v>Good</x:v>
      </x:c>
      <x:c r="L527" s="170" t="str">
        <x:v>Refreshed working baseline</x:v>
      </x:c>
      <x:c r="M527" s="170" t="str">
        <x:v>Working</x:v>
      </x:c>
      <x:c r="N527" s="170" t="n">
        <x:v>3</x:v>
      </x:c>
    </x:row>
    <x:row r="528" ht="42" customHeight="1">
      <x:c r="A528" s="220" t="n">
        <x:v>46269</x:v>
      </x:c>
      <x:c r="B528" s="170" t="str">
        <x:v>Chest + Shoulders</x:v>
      </x:c>
      <x:c r="C528" s="170" t="str">
        <x:v>Incline Dumbbell Press</x:v>
      </x:c>
      <x:c r="D528" s="170" t="n">
        <x:v>2</x:v>
      </x:c>
      <x:c r="E528" s="170" t="n">
        <x:v>22.5</x:v>
      </x:c>
      <x:c r="F528" s="170" t="str">
        <x:v>kg each dumbbell</x:v>
      </x:c>
      <x:c r="G528" s="170" t="n">
        <x:v>12</x:v>
      </x:c>
      <x:c r="H528" s="170" t="str">
        <x:v>Clean and unassisted; bench angle To verify</x:v>
      </x:c>
      <x:c r="I528" s="170" t="str">
        <x:v>No post-session chest, shoulder, elbow, wrist or upper-biceps pain; no upright-row shoulder pinching; pre-session soreness/pain To verify</x:v>
      </x:c>
      <x:c r="J528" s="170" t="str">
        <x:v>Medium to Low final; starting energy To verify</x:v>
      </x:c>
      <x:c r="K528" s="170" t="str">
        <x:v>Good</x:v>
      </x:c>
      <x:c r="L528" s="170" t="str">
        <x:v>Target-quality set</x:v>
      </x:c>
      <x:c r="M528" s="170" t="str">
        <x:v>Working</x:v>
      </x:c>
      <x:c r="N528" s="170" t="n">
        <x:v>2</x:v>
      </x:c>
    </x:row>
    <x:row r="529" ht="42" customHeight="1">
      <x:c r="A529" s="220" t="n">
        <x:v>46269</x:v>
      </x:c>
      <x:c r="B529" s="170" t="str">
        <x:v>Chest + Shoulders</x:v>
      </x:c>
      <x:c r="C529" s="170" t="str">
        <x:v>Incline Dumbbell Press</x:v>
      </x:c>
      <x:c r="D529" s="170" t="n">
        <x:v>3</x:v>
      </x:c>
      <x:c r="E529" s="170" t="n">
        <x:v>25</x:v>
      </x:c>
      <x:c r="F529" s="170" t="str">
        <x:v>kg each dumbbell</x:v>
      </x:c>
      <x:c r="G529" s="170" t="n">
        <x:v>9</x:v>
      </x:c>
      <x:c r="H529" s="170" t="str">
        <x:v>Clean and unassisted; bench angle To verify</x:v>
      </x:c>
      <x:c r="I529" s="170" t="str">
        <x:v>No post-session chest, shoulder, elbow, wrist or upper-biceps pain; no upright-row shoulder pinching; pre-session soreness/pain To verify</x:v>
      </x:c>
      <x:c r="J529" s="170" t="str">
        <x:v>Medium to Low final; starting energy To verify</x:v>
      </x:c>
      <x:c r="K529" s="170" t="str">
        <x:v>Good</x:v>
      </x:c>
      <x:c r="L529" s="170" t="str">
        <x:v>Current top-set baseline; add rep before load</x:v>
      </x:c>
      <x:c r="M529" s="170" t="str">
        <x:v>Working</x:v>
      </x:c>
      <x:c r="N529" s="170" t="n">
        <x:v>2</x:v>
      </x:c>
    </x:row>
    <x:row r="530" ht="42" customHeight="1">
      <x:c r="A530" s="220" t="n">
        <x:v>46269</x:v>
      </x:c>
      <x:c r="B530" s="170" t="str">
        <x:v>Chest + Shoulders</x:v>
      </x:c>
      <x:c r="C530" s="170" t="str">
        <x:v>Low-to-High Cable Fly</x:v>
      </x:c>
      <x:c r="D530" s="170" t="n">
        <x:v>1</x:v>
      </x:c>
      <x:c r="E530" s="170" t="n">
        <x:v>10</x:v>
      </x:c>
      <x:c r="F530" s="170" t="str">
        <x:v>kg reported stack setting; per-side basis To verify</x:v>
      </x:c>
      <x:c r="G530" s="170" t="n">
        <x:v>25</x:v>
      </x:c>
      <x:c r="H530" s="170" t="str">
        <x:v>No meaningful stimulus reported; exact cable setup/path To verify</x:v>
      </x:c>
      <x:c r="I530" s="170" t="str">
        <x:v>No post-session chest, shoulder, elbow, wrist or upper-biceps pain; no upright-row shoulder pinching; pre-session soreness/pain To verify</x:v>
      </x:c>
      <x:c r="J530" s="170" t="str">
        <x:v>Medium to Low final; starting energy To verify</x:v>
      </x:c>
      <x:c r="K530" s="170" t="str">
        <x:v>Good</x:v>
      </x:c>
      <x:c r="L530" s="170" t="str">
        <x:v>Preparation; do not repeat as working volume</x:v>
      </x:c>
      <x:c r="M530" s="170" t="str">
        <x:v>Preparation</x:v>
      </x:c>
      <x:c r="N530" s="170" t="n">
        <x:v>5</x:v>
      </x:c>
    </x:row>
    <x:row r="531" ht="42" customHeight="1">
      <x:c r="A531" s="220" t="n">
        <x:v>46269</x:v>
      </x:c>
      <x:c r="B531" s="170" t="str">
        <x:v>Chest + Shoulders</x:v>
      </x:c>
      <x:c r="C531" s="170" t="str">
        <x:v>Low-to-High Cable Fly</x:v>
      </x:c>
      <x:c r="D531" s="170" t="n">
        <x:v>2</x:v>
      </x:c>
      <x:c r="E531" s="170" t="n">
        <x:v>15</x:v>
      </x:c>
      <x:c r="F531" s="170" t="str">
        <x:v>kg reported stack setting; per-side basis To verify</x:v>
      </x:c>
      <x:c r="G531" s="170" t="n">
        <x:v>18</x:v>
      </x:c>
      <x:c r="H531" s="170" t="str">
        <x:v>No meaningful stimulus reported; exact cable setup/path To verify</x:v>
      </x:c>
      <x:c r="I531" s="170" t="str">
        <x:v>No post-session chest, shoulder, elbow, wrist or upper-biceps pain; no upright-row shoulder pinching; pre-session soreness/pain To verify</x:v>
      </x:c>
      <x:c r="J531" s="170" t="str">
        <x:v>Medium to Low final; starting energy To verify</x:v>
      </x:c>
      <x:c r="K531" s="170" t="str">
        <x:v>Good</x:v>
      </x:c>
      <x:c r="L531" s="170" t="str">
        <x:v>Preparation; use only one prep set next time</x:v>
      </x:c>
      <x:c r="M531" s="170" t="str">
        <x:v>Preparation</x:v>
      </x:c>
      <x:c r="N531" s="170" t="n">
        <x:v>5</x:v>
      </x:c>
    </x:row>
    <x:row r="532" ht="42" customHeight="1">
      <x:c r="A532" s="220" t="n">
        <x:v>46269</x:v>
      </x:c>
      <x:c r="B532" s="170" t="str">
        <x:v>Chest + Shoulders</x:v>
      </x:c>
      <x:c r="C532" s="170" t="str">
        <x:v>Low-to-High Cable Fly</x:v>
      </x:c>
      <x:c r="D532" s="170" t="n">
        <x:v>3</x:v>
      </x:c>
      <x:c r="E532" s="170" t="n">
        <x:v>20</x:v>
      </x:c>
      <x:c r="F532" s="170" t="str">
        <x:v>kg reported stack setting; per-side basis To verify</x:v>
      </x:c>
      <x:c r="G532" s="170" t="n">
        <x:v>15</x:v>
      </x:c>
      <x:c r="H532" s="170" t="str">
        <x:v>No reported form breakdown; exact cable setup/path To verify</x:v>
      </x:c>
      <x:c r="I532" s="170" t="str">
        <x:v>No post-session chest, shoulder, elbow, wrist or upper-biceps pain; no upright-row shoulder pinching; pre-session soreness/pain To verify</x:v>
      </x:c>
      <x:c r="J532" s="170" t="str">
        <x:v>Medium to Low final; starting energy To verify</x:v>
      </x:c>
      <x:c r="K532" s="170" t="str">
        <x:v>Good</x:v>
      </x:c>
      <x:c r="L532" s="170" t="str">
        <x:v>Refreshed working baseline</x:v>
      </x:c>
      <x:c r="M532" s="170" t="str">
        <x:v>Working</x:v>
      </x:c>
      <x:c r="N532" s="170" t="n">
        <x:v>3</x:v>
      </x:c>
    </x:row>
    <x:row r="533" ht="42" customHeight="1">
      <x:c r="A533" s="220" t="n">
        <x:v>46269</x:v>
      </x:c>
      <x:c r="B533" s="170" t="str">
        <x:v>Chest + Shoulders</x:v>
      </x:c>
      <x:c r="C533" s="170" t="str">
        <x:v>Low-to-High Cable Fly</x:v>
      </x:c>
      <x:c r="D533" s="170" t="n">
        <x:v>4</x:v>
      </x:c>
      <x:c r="E533" s="170" t="n">
        <x:v>25</x:v>
      </x:c>
      <x:c r="F533" s="170" t="str">
        <x:v>kg reported stack setting; per-side basis To verify</x:v>
      </x:c>
      <x:c r="G533" s="170" t="n">
        <x:v>12</x:v>
      </x:c>
      <x:c r="H533" s="170" t="str">
        <x:v>No reported form breakdown; exact cable setup/path To verify</x:v>
      </x:c>
      <x:c r="I533" s="170" t="str">
        <x:v>No post-session chest, shoulder, elbow, wrist or upper-biceps pain; no upright-row shoulder pinching; pre-session soreness/pain To verify</x:v>
      </x:c>
      <x:c r="J533" s="170" t="str">
        <x:v>Medium to Low final; starting energy To verify</x:v>
      </x:c>
      <x:c r="K533" s="170" t="str">
        <x:v>Good</x:v>
      </x:c>
      <x:c r="L533" s="170" t="str">
        <x:v>Target-quality set</x:v>
      </x:c>
      <x:c r="M533" s="170" t="str">
        <x:v>Working</x:v>
      </x:c>
      <x:c r="N533" s="170" t="n">
        <x:v>2</x:v>
      </x:c>
    </x:row>
    <x:row r="534" ht="42" customHeight="1">
      <x:c r="A534" s="220" t="n">
        <x:v>46269</x:v>
      </x:c>
      <x:c r="B534" s="170" t="str">
        <x:v>Chest + Shoulders</x:v>
      </x:c>
      <x:c r="C534" s="170" t="str">
        <x:v>Low-to-High Cable Fly</x:v>
      </x:c>
      <x:c r="D534" s="170" t="n">
        <x:v>5</x:v>
      </x:c>
      <x:c r="E534" s="170" t="n">
        <x:v>30</x:v>
      </x:c>
      <x:c r="F534" s="170" t="str">
        <x:v>kg reported stack setting; per-side basis To verify</x:v>
      </x:c>
      <x:c r="G534" s="170" t="n">
        <x:v>8</x:v>
      </x:c>
      <x:c r="H534" s="170" t="str">
        <x:v>No reported form breakdown; exact cable setup/path To verify</x:v>
      </x:c>
      <x:c r="I534" s="170" t="str">
        <x:v>No post-session chest, shoulder, elbow, wrist or upper-biceps pain; no upright-row shoulder pinching; pre-session soreness/pain To verify</x:v>
      </x:c>
      <x:c r="J534" s="170" t="str">
        <x:v>Medium to Low final; starting energy To verify</x:v>
      </x:c>
      <x:c r="K534" s="170" t="str">
        <x:v>Good</x:v>
      </x:c>
      <x:c r="L534" s="170" t="str">
        <x:v>Current top-set baseline; add rep before load</x:v>
      </x:c>
      <x:c r="M534" s="170" t="str">
        <x:v>Working</x:v>
      </x:c>
      <x:c r="N534" s="170" t="n">
        <x:v>2</x:v>
      </x:c>
    </x:row>
    <x:row r="535" ht="42" customHeight="1">
      <x:c r="A535" s="220" t="n">
        <x:v>46269</x:v>
      </x:c>
      <x:c r="B535" s="170" t="str">
        <x:v>Chest + Shoulders</x:v>
      </x:c>
      <x:c r="C535" s="170" t="str">
        <x:v>Cable Upright Row</x:v>
      </x:c>
      <x:c r="D535" s="170" t="n">
        <x:v>1</x:v>
      </x:c>
      <x:c r="E535" s="170" t="n">
        <x:v>40</x:v>
      </x:c>
      <x:c r="F535" s="170" t="str">
        <x:v>kg total stack</x:v>
      </x:c>
      <x:c r="G535" s="170" t="n">
        <x:v>15</x:v>
      </x:c>
      <x:c r="H535" s="170" t="str">
        <x:v>No reported form breakdown or shoulder pinching; pull height To verify</x:v>
      </x:c>
      <x:c r="I535" s="170" t="str">
        <x:v>No post-session chest, shoulder, elbow, wrist or upper-biceps pain; no upright-row shoulder pinching; pre-session soreness/pain To verify</x:v>
      </x:c>
      <x:c r="J535" s="170" t="str">
        <x:v>Medium to Low final; starting energy To verify</x:v>
      </x:c>
      <x:c r="K535" s="170" t="str">
        <x:v>Good</x:v>
      </x:c>
      <x:c r="L535" s="170" t="str">
        <x:v>Target met</x:v>
      </x:c>
      <x:c r="M535" s="170" t="str">
        <x:v>Working</x:v>
      </x:c>
      <x:c r="N535" s="170" t="n">
        <x:v>3</x:v>
      </x:c>
    </x:row>
    <x:row r="536" ht="42" customHeight="1">
      <x:c r="A536" s="220" t="n">
        <x:v>46269</x:v>
      </x:c>
      <x:c r="B536" s="170" t="str">
        <x:v>Chest + Shoulders</x:v>
      </x:c>
      <x:c r="C536" s="170" t="str">
        <x:v>Cable Upright Row</x:v>
      </x:c>
      <x:c r="D536" s="170" t="n">
        <x:v>2</x:v>
      </x:c>
      <x:c r="E536" s="170" t="n">
        <x:v>50</x:v>
      </x:c>
      <x:c r="F536" s="170" t="str">
        <x:v>kg total stack</x:v>
      </x:c>
      <x:c r="G536" s="170" t="n">
        <x:v>12</x:v>
      </x:c>
      <x:c r="H536" s="170" t="str">
        <x:v>No reported form breakdown or shoulder pinching; pull height To verify</x:v>
      </x:c>
      <x:c r="I536" s="170" t="str">
        <x:v>No post-session chest, shoulder, elbow, wrist or upper-biceps pain; no upright-row shoulder pinching; pre-session soreness/pain To verify</x:v>
      </x:c>
      <x:c r="J536" s="170" t="str">
        <x:v>Medium to Low final; starting energy To verify</x:v>
      </x:c>
      <x:c r="K536" s="170" t="str">
        <x:v>Good</x:v>
      </x:c>
      <x:c r="L536" s="170" t="str">
        <x:v>Improved reserve</x:v>
      </x:c>
      <x:c r="M536" s="170" t="str">
        <x:v>Working</x:v>
      </x:c>
      <x:c r="N536" s="170" t="n">
        <x:v>3</x:v>
      </x:c>
    </x:row>
    <x:row r="537" ht="42" customHeight="1">
      <x:c r="A537" s="220" t="n">
        <x:v>46269</x:v>
      </x:c>
      <x:c r="B537" s="170" t="str">
        <x:v>Chest + Shoulders</x:v>
      </x:c>
      <x:c r="C537" s="170" t="str">
        <x:v>Cable Upright Row</x:v>
      </x:c>
      <x:c r="D537" s="170" t="n">
        <x:v>3</x:v>
      </x:c>
      <x:c r="E537" s="170" t="n">
        <x:v>60</x:v>
      </x:c>
      <x:c r="F537" s="170" t="str">
        <x:v>kg total stack</x:v>
      </x:c>
      <x:c r="G537" s="170" t="n">
        <x:v>10</x:v>
      </x:c>
      <x:c r="H537" s="170" t="str">
        <x:v>No reported form breakdown or shoulder pinching; pull height To verify</x:v>
      </x:c>
      <x:c r="I537" s="170" t="str">
        <x:v>No post-session chest, shoulder, elbow, wrist or upper-biceps pain; no upright-row shoulder pinching; pre-session soreness/pain To verify</x:v>
      </x:c>
      <x:c r="J537" s="170" t="str">
        <x:v>Medium to Low final; starting energy To verify</x:v>
      </x:c>
      <x:c r="K537" s="170" t="str">
        <x:v>Good</x:v>
      </x:c>
      <x:c r="L537" s="170" t="str">
        <x:v>Rep progression at RIR 2</x:v>
      </x:c>
      <x:c r="M537" s="170" t="str">
        <x:v>Working</x:v>
      </x:c>
      <x:c r="N537" s="170" t="n">
        <x:v>2</x:v>
      </x:c>
    </x:row>
    <x:row r="538" ht="42" customHeight="1">
      <x:c r="A538" s="220" t="n">
        <x:v>46269</x:v>
      </x:c>
      <x:c r="B538" s="170" t="str">
        <x:v>Chest + Shoulders</x:v>
      </x:c>
      <x:c r="C538" s="170" t="str">
        <x:v>Face Pull</x:v>
      </x:c>
      <x:c r="D538" s="170" t="n">
        <x:v>1</x:v>
      </x:c>
      <x:c r="E538" s="170" t="n">
        <x:v>35</x:v>
      </x:c>
      <x:c r="F538" s="170" t="str">
        <x:v>kg total stack</x:v>
      </x:c>
      <x:c r="G538" s="170" t="n">
        <x:v>15</x:v>
      </x:c>
      <x:c r="H538" s="170" t="str">
        <x:v>No reported form breakdown; rope path and lean-back To verify</x:v>
      </x:c>
      <x:c r="I538" s="170" t="str">
        <x:v>No post-session chest, shoulder, elbow, wrist or upper-biceps pain; no upright-row shoulder pinching; pre-session soreness/pain To verify</x:v>
      </x:c>
      <x:c r="J538" s="170" t="str">
        <x:v>Medium to Low final; starting energy To verify</x:v>
      </x:c>
      <x:c r="K538" s="170" t="str">
        <x:v>Good</x:v>
      </x:c>
      <x:c r="L538" s="170" t="str">
        <x:v>Comfortably below failure</x:v>
      </x:c>
      <x:c r="M538" s="170" t="str">
        <x:v>Working</x:v>
      </x:c>
      <x:c r="N538" s="170" t="n">
        <x:v>4</x:v>
      </x:c>
    </x:row>
    <x:row r="539" ht="42" customHeight="1">
      <x:c r="A539" s="220" t="n">
        <x:v>46269</x:v>
      </x:c>
      <x:c r="B539" s="170" t="str">
        <x:v>Chest + Shoulders</x:v>
      </x:c>
      <x:c r="C539" s="170" t="str">
        <x:v>Face Pull</x:v>
      </x:c>
      <x:c r="D539" s="170" t="n">
        <x:v>2</x:v>
      </x:c>
      <x:c r="E539" s="170" t="n">
        <x:v>40</x:v>
      </x:c>
      <x:c r="F539" s="170" t="str">
        <x:v>kg total stack</x:v>
      </x:c>
      <x:c r="G539" s="170" t="n">
        <x:v>12</x:v>
      </x:c>
      <x:c r="H539" s="170" t="str">
        <x:v>No reported form breakdown; rope path and lean-back To verify</x:v>
      </x:c>
      <x:c r="I539" s="170" t="str">
        <x:v>No post-session chest, shoulder, elbow, wrist or upper-biceps pain; no upright-row shoulder pinching; pre-session soreness/pain To verify</x:v>
      </x:c>
      <x:c r="J539" s="170" t="str">
        <x:v>Medium to Low final; starting energy To verify</x:v>
      </x:c>
      <x:c r="K539" s="170" t="str">
        <x:v>Good</x:v>
      </x:c>
      <x:c r="L539" s="170" t="str">
        <x:v>Improved reserve</x:v>
      </x:c>
      <x:c r="M539" s="170" t="str">
        <x:v>Working</x:v>
      </x:c>
      <x:c r="N539" s="170" t="n">
        <x:v>3</x:v>
      </x:c>
    </x:row>
    <x:row r="540" ht="42" customHeight="1">
      <x:c r="A540" s="220" t="n">
        <x:v>46269</x:v>
      </x:c>
      <x:c r="B540" s="170" t="str">
        <x:v>Chest + Shoulders</x:v>
      </x:c>
      <x:c r="C540" s="170" t="str">
        <x:v>Face Pull</x:v>
      </x:c>
      <x:c r="D540" s="170" t="n">
        <x:v>3</x:v>
      </x:c>
      <x:c r="E540" s="170" t="n">
        <x:v>45</x:v>
      </x:c>
      <x:c r="F540" s="170" t="str">
        <x:v>kg total stack</x:v>
      </x:c>
      <x:c r="G540" s="170" t="n">
        <x:v>10</x:v>
      </x:c>
      <x:c r="H540" s="170" t="str">
        <x:v>No reported form breakdown; rope path and lean-back To verify</x:v>
      </x:c>
      <x:c r="I540" s="170" t="str">
        <x:v>No post-session chest, shoulder, elbow, wrist or upper-biceps pain; no upright-row shoulder pinching; pre-session soreness/pain To verify</x:v>
      </x:c>
      <x:c r="J540" s="170" t="str">
        <x:v>Medium to Low final; starting energy To verify</x:v>
      </x:c>
      <x:c r="K540" s="170" t="str">
        <x:v>Good</x:v>
      </x:c>
      <x:c r="L540" s="170" t="str">
        <x:v>Extra third set retained; no volume increase</x:v>
      </x:c>
      <x:c r="M540" s="170" t="str">
        <x:v>Working</x:v>
      </x:c>
      <x:c r="N540" s="170" t="n">
        <x:v>3</x:v>
      </x:c>
    </x:row>
    <x:row r="541" ht="42" customHeight="1">
      <x:c r="A541" s="220" t="n">
        <x:v>46269</x:v>
      </x:c>
      <x:c r="B541" s="170" t="str">
        <x:v>Chest + Shoulders</x:v>
      </x:c>
      <x:c r="C541" s="170" t="str">
        <x:v>Dumbbell Shrug</x:v>
      </x:c>
      <x:c r="D541" s="170" t="n">
        <x:v>1</x:v>
      </x:c>
      <x:c r="E541" s="170" t="n">
        <x:v>35</x:v>
      </x:c>
      <x:c r="F541" s="170" t="str">
        <x:v>kg each dumbbell</x:v>
      </x:c>
      <x:c r="G541" s="170" t="n">
        <x:v>15</x:v>
      </x:c>
      <x:c r="H541" s="170" t="str">
        <x:v>Clean and unassisted; top-pause duration/range To verify</x:v>
      </x:c>
      <x:c r="I541" s="170" t="str">
        <x:v>No post-session chest, shoulder, elbow, wrist or upper-biceps pain; no upright-row shoulder pinching; pre-session soreness/pain To verify</x:v>
      </x:c>
      <x:c r="J541" s="170" t="str">
        <x:v>Medium to Low final; starting energy To verify</x:v>
      </x:c>
      <x:c r="K541" s="170" t="str">
        <x:v>Good</x:v>
      </x:c>
      <x:c r="L541" s="170" t="str">
        <x:v>Target met</x:v>
      </x:c>
      <x:c r="M541" s="170" t="str">
        <x:v>Working</x:v>
      </x:c>
      <x:c r="N541" s="170" t="n">
        <x:v>3</x:v>
      </x:c>
    </x:row>
    <x:row r="542" ht="42" customHeight="1">
      <x:c r="A542" s="220" t="n">
        <x:v>46269</x:v>
      </x:c>
      <x:c r="B542" s="170" t="str">
        <x:v>Chest + Shoulders</x:v>
      </x:c>
      <x:c r="C542" s="170" t="str">
        <x:v>Dumbbell Shrug</x:v>
      </x:c>
      <x:c r="D542" s="170" t="n">
        <x:v>2</x:v>
      </x:c>
      <x:c r="E542" s="170" t="n">
        <x:v>40</x:v>
      </x:c>
      <x:c r="F542" s="170" t="str">
        <x:v>kg each dumbbell</x:v>
      </x:c>
      <x:c r="G542" s="170" t="n">
        <x:v>12</x:v>
      </x:c>
      <x:c r="H542" s="170" t="str">
        <x:v>Clean and unassisted; top-pause duration/range To verify</x:v>
      </x:c>
      <x:c r="I542" s="170" t="str">
        <x:v>No post-session chest, shoulder, elbow, wrist or upper-biceps pain; no upright-row shoulder pinching; pre-session soreness/pain To verify</x:v>
      </x:c>
      <x:c r="J542" s="170" t="str">
        <x:v>Medium to Low final; starting energy To verify</x:v>
      </x:c>
      <x:c r="K542" s="170" t="str">
        <x:v>Good</x:v>
      </x:c>
      <x:c r="L542" s="170" t="str">
        <x:v>Target met; add rep before load</x:v>
      </x:c>
      <x:c r="M542" s="170" t="str">
        <x:v>Working</x:v>
      </x:c>
      <x:c r="N542" s="170" t="n">
        <x:v>2</x:v>
      </x:c>
    </x:row>
  </x:sheetData>
  <x:mergeCells>
    <x:mergeCell ref="A1:L2"/>
    <x:mergeCell ref="A3:N3"/>
  </x:mergeCells>
  <x:conditionalFormatting sqref="I5:I65">
    <x:cfRule type="expression" dxfId="2" priority="1">
      <x:formula>LEN(I5)&gt;0</x:formula>
    </x:cfRule>
  </x:conditionalFormatting>
  <x:dataValidations count="6">
    <x:dataValidation type="list" sqref="M5:M89">
      <x:formula1>"Warm-up,Working,Back-off,Drop,Assisted,Not recorded"</x:formula1>
    </x:dataValidation>
    <x:dataValidation type="list" sqref="N5:N89">
      <x:formula1>"0,1,2,3,4+,Not recorded"</x:formula1>
    </x:dataValidation>
    <x:dataValidation type="list" sqref="M5:M109">
      <x:formula1>"Warm-up,Working,Back-off,Drop set,Not recorded"</x:formula1>
    </x:dataValidation>
    <x:dataValidation type="list" sqref="N5:N109">
      <x:formula1>"0,1,2,3,4+,Not recorded"</x:formula1>
    </x:dataValidation>
    <x:dataValidation type="list" sqref="M5:M130">
      <x:formula1>"Warm-up,Working,Back-off,Drop set,Not recorded"</x:formula1>
    </x:dataValidation>
    <x:dataValidation type="list" sqref="N5:N130">
      <x:formula1>"0,1,2,3,4+,Not recorded"</x:formula1>
    </x:dataValidation>
  </x:dataValidations>
  <x:pageMargins left="0.7" right="0.7" top="0.75" bottom="0.75" header="0.3" footer="0.3"/>
  <x:tableParts count="1">
    <x:tablePart xmlns:r="http://schemas.openxmlformats.org/officeDocument/2006/relationships" r:id="R225780325b944d78"/>
  </x:tableParts>
</x:worksheet>
</file>

<file path=xl/worksheets/sheet4.xml><?xml version="1.0" encoding="utf-8"?>
<x:worksheet xmlns:x="http://schemas.openxmlformats.org/spreadsheetml/2006/main">
  <x:sheetFormatPr baseColWidth="8" defaultRowHeight="15"/>
  <x:cols>
    <x:col min="1" max="1" width="12" customWidth="1"/>
    <x:col min="2" max="2" width="26" customWidth="1"/>
    <x:col min="3" max="3" width="24" customWidth="1"/>
    <x:col min="4" max="4" width="24" customWidth="1"/>
    <x:col min="5" max="5" width="24" customWidth="1"/>
    <x:col min="6" max="6" width="20" customWidth="1"/>
    <x:col min="7" max="7" width="24" customWidth="1"/>
    <x:col min="8" max="8" width="14" customWidth="1"/>
    <x:col min="9" max="9" width="28" customWidth="1"/>
  </x:cols>
  <x:sheetData>
    <x:row r="1">
      <x:c r="A1" s="89" t="inlineStr">
        <x:is>
          <x:t xml:space="preserve">Exercise Targets &amp; Coaching Notes</x:t>
        </x:is>
      </x:c>
      <x:c r="B1" s="53" t="n"/>
      <x:c r="C1" s="53" t="n"/>
      <x:c r="D1" s="53" t="n"/>
      <x:c r="E1" s="53" t="n"/>
      <x:c r="F1" s="53" t="n"/>
      <x:c r="G1" s="53" t="n"/>
      <x:c r="H1" s="53" t="n"/>
      <x:c r="I1" s="53" t="n"/>
    </x:row>
    <x:row r="2">
      <x:c r="A2" s="53" t="n"/>
      <x:c r="B2" s="53" t="n"/>
      <x:c r="C2" s="53" t="n"/>
      <x:c r="D2" s="53" t="n"/>
      <x:c r="E2" s="53" t="n"/>
      <x:c r="F2" s="53" t="n"/>
      <x:c r="G2" s="53" t="n"/>
      <x:c r="H2" s="53" t="n"/>
      <x:c r="I2" s="53" t="n"/>
    </x:row>
    <x:row r="3">
      <x:c r="A3" s="59" t="n"/>
      <x:c r="B3" s="59" t="n"/>
      <x:c r="C3" s="59" t="n"/>
      <x:c r="D3" s="59" t="n"/>
      <x:c r="E3" s="59" t="n"/>
      <x:c r="F3" s="59" t="n"/>
      <x:c r="G3" s="59" t="n"/>
      <x:c r="H3" s="59" t="n"/>
      <x:c r="I3" s="59" t="n"/>
    </x:row>
    <x:row r="4" ht="15" hidden="0" customHeight="1">
      <x:c r="A4" s="219" t="inlineStr">
        <x:is>
          <x:t xml:space="preserve">Muscle</x:t>
        </x:is>
      </x:c>
      <x:c r="B4" s="219" t="inlineStr">
        <x:is>
          <x:t xml:space="preserve">Exercise</x:t>
        </x:is>
      </x:c>
      <x:c r="C4" s="219" t="inlineStr">
        <x:is>
          <x:t xml:space="preserve">Current Best Set</x:t>
        </x:is>
      </x:c>
      <x:c r="D4" s="219" t="inlineStr">
        <x:is>
          <x:t xml:space="preserve">Current Working Zone</x:t>
        </x:is>
      </x:c>
      <x:c r="E4" s="219" t="inlineStr">
        <x:is>
          <x:t xml:space="preserve">Next Target</x:t>
        </x:is>
      </x:c>
      <x:c r="F4" s="219" t="inlineStr">
        <x:is>
          <x:t xml:space="preserve">Progress Rule</x:t>
        </x:is>
      </x:c>
      <x:c r="G4" s="219" t="inlineStr">
        <x:is>
          <x:t xml:space="preserve">Technique Focus</x:t>
        </x:is>
      </x:c>
      <x:c r="H4" s="219" t="inlineStr">
        <x:is>
          <x:t xml:space="preserve">Status</x:t>
        </x:is>
      </x:c>
      <x:c r="I4" s="219" t="inlineStr">
        <x:is>
          <x:t xml:space="preserve">Notes</x:t>
        </x:is>
      </x:c>
    </x:row>
    <x:row r="5" ht="15" hidden="0" customHeight="1">
      <x:c r="A5" s="222" t="str">
        <x:v>Back</x:v>
      </x:c>
      <x:c r="B5" s="222" t="str">
        <x:v>Lat Pulldown</x:v>
      </x:c>
      <x:c r="C5" s="222" t="str">
        <x:v>60 kg x 10 @ RIR 2</x:v>
      </x:c>
      <x:c r="D5" s="222" t="str">
        <x:v>50-60 kg</x:v>
      </x:c>
      <x:c r="E5" s="222" t="str">
        <x:v>60 kg x 10 @ RIR 2; 55 kg x 12 @ RIR 2</x:v>
      </x:c>
      <x:c r="F5" s="222" t="str">
        <x:v>Improve 50 kg reserve and 55 kg reps before load</x:v>
      </x:c>
      <x:c r="G5" s="222" t="str">
        <x:v>Elbows down; no swinging</x:v>
      </x:c>
      <x:c r="H5" s="222" t="str">
        <x:v>In progress</x:v>
      </x:c>
      <x:c r="I5" s="222" t="str">
        <x:v>45 kg x12 was true preparation; 60 kg gained a rep at RIR 2</x:v>
      </x:c>
    </x:row>
    <x:row r="6" ht="15" hidden="0" customHeight="1">
      <x:c r="A6" s="222" t="str">
        <x:v>Back</x:v>
      </x:c>
      <x:c r="B6" s="222" t="str">
        <x:v>Seated Cable Row</x:v>
      </x:c>
      <x:c r="C6" s="222" t="str">
        <x:v>60 kg x 10 @ RIR 2</x:v>
      </x:c>
      <x:c r="D6" s="222" t="str">
        <x:v>50-60 kg</x:v>
      </x:c>
      <x:c r="E6" s="222" t="str">
        <x:v>60 kg x 10-11 @ RIR 2</x:v>
      </x:c>
      <x:c r="F6" s="222" t="str">
        <x:v>Add rep before load</x:v>
      </x:c>
      <x:c r="G6" s="222" t="str">
        <x:v>Torso stable</x:v>
      </x:c>
      <x:c r="H6" s="222" t="str">
        <x:v>In progress</x:v>
      </x:c>
      <x:c r="I6" s="222" t="str">
        <x:v>All targets met; prior top-set RIR 1 improved to RIR 2</x:v>
      </x:c>
    </x:row>
    <x:row r="7" ht="24" hidden="0" customHeight="1">
      <x:c r="A7" s="222" t="str">
        <x:v>Back</x:v>
      </x:c>
      <x:c r="B7" s="222" t="str">
        <x:v>Chest-Supported Row</x:v>
      </x:c>
      <x:c r="C7" s="222" t="str">
        <x:v>55 kg x 12 @ RIR 2</x:v>
      </x:c>
      <x:c r="D7" s="222" t="str">
        <x:v>40-55 kg on established machine</x:v>
      </x:c>
      <x:c r="E7" s="222" t="str">
        <x:v>55 kg x 12-13 @ RIR 2</x:v>
      </x:c>
      <x:c r="F7" s="222" t="str">
        <x:v>Use one row variation only</x:v>
      </x:c>
      <x:c r="G7" s="222" t="str">
        <x:v>Chest stays on pad</x:v>
      </x:c>
      <x:c r="H7" s="222" t="str">
        <x:v>Modify exercise selection</x:v>
      </x:c>
      <x:c r="I7" s="222" t="str">
        <x:v>30 kg prep @4; 40 x15 @3; 55 x12 @2; exact machine load convention To verify</x:v>
      </x:c>
    </x:row>
    <x:row r="8" ht="15" hidden="0" customHeight="1">
      <x:c r="A8" s="222" t="str">
        <x:v>Back</x:v>
      </x:c>
      <x:c r="B8" s="222" t="str">
        <x:v>Straight-Arm Pulldown</x:v>
      </x:c>
      <x:c r="C8" s="222" t="str">
        <x:v>Not performed; replaced by second chest-supported row</x:v>
      </x:c>
      <x:c r="D8" s="222" t="str">
        <x:v>45-50 kg</x:v>
      </x:c>
      <x:c r="E8" s="222" t="str">
        <x:v>50 kg x 12 @ RIR 2</x:v>
      </x:c>
      <x:c r="F8" s="222" t="str">
        <x:v>Exactly 2 sets when established row machine is used</x:v>
      </x:c>
      <x:c r="G8" s="222" t="str">
        <x:v>Elbows fixed</x:v>
      </x:c>
      <x:c r="H8" s="222" t="str">
        <x:v>Resume next Back session</x:v>
      </x:c>
      <x:c r="I8" s="222" t="str">
        <x:v>Omitted to preserve 16-set ceiling after duplicate row variations</x:v>
      </x:c>
    </x:row>
    <x:row r="9" ht="40" hidden="0" customHeight="1">
      <x:c r="A9" s="222" t="str">
        <x:v>Chest</x:v>
      </x:c>
      <x:c r="B9" s="222" t="str">
        <x:v>Flat Bench Press</x:v>
      </x:c>
      <x:c r="C9" s="222" t="str">
        <x:v>22.5 kg/side x 8 @ RIR 2</x:v>
      </x:c>
      <x:c r="D9" s="222" t="str">
        <x:v>17.5-22.5 kg/side</x:v>
      </x:c>
      <x:c r="E9" s="222" t="str">
        <x:v>22.5 kg/side x 9 @ RIR 2</x:v>
      </x:c>
      <x:c r="F9" s="222" t="str">
        <x:v>Add one clean rep before load</x:v>
      </x:c>
      <x:c r="G9" s="222" t="str">
        <x:v>Shoulder blades set; genuine preparation near RIR 5</x:v>
      </x:c>
      <x:c r="H9" s="222" t="str">
        <x:v>In progress</x:v>
      </x:c>
      <x:c r="I9" s="222" t="str">
        <x:v>15 kg x 8 was warm-up; all working sets unassisted; bar excluded</x:v>
      </x:c>
    </x:row>
    <x:row r="10" ht="40" hidden="0" customHeight="1">
      <x:c r="A10" s="222" t="str">
        <x:v>Chest</x:v>
      </x:c>
      <x:c r="B10" s="222" t="str">
        <x:v>Incline DB Press</x:v>
      </x:c>
      <x:c r="C10" s="222" t="str">
        <x:v>25 kg each x 9 @ RIR 2</x:v>
      </x:c>
      <x:c r="D10" s="222" t="str">
        <x:v>20-25 kg each</x:v>
      </x:c>
      <x:c r="E10" s="222" t="str">
        <x:v>20 kg x15 @3; 22.5 kg x13 @2; 25 kg x10 @2</x:v>
      </x:c>
      <x:c r="F10" s="222" t="str">
        <x:v>Add reps before load</x:v>
      </x:c>
      <x:c r="G10" s="222" t="str">
        <x:v>Moderate incline; shoulder blades set</x:v>
      </x:c>
      <x:c r="H10" s="222" t="str">
        <x:v>In progress</x:v>
      </x:c>
      <x:c r="I10" s="222" t="str">
        <x:v>Current baseline refreshed 2026-09-04; no assistance or pain</x:v>
      </x:c>
    </x:row>
    <x:row r="11" ht="40" hidden="0" customHeight="1">
      <x:c r="A11" s="222" t="str">
        <x:v>Chest</x:v>
      </x:c>
      <x:c r="B11" s="222" t="str">
        <x:v>Plate Chest Press</x:v>
      </x:c>
      <x:c r="C11" s="222" t="str">
        <x:v>50 kg reported x9 @ RIR 2; load basis To verify</x:v>
      </x:c>
      <x:c r="D11" s="222" t="str">
        <x:v>30-50 kg reported; total vs per side To verify</x:v>
      </x:c>
      <x:c r="E11" s="222" t="str">
        <x:v>Prep 20 kg x10-12 @5; 30 x15 @3; 40 x14-15 @3; 50 x10 @2</x:v>
      </x:c>
      <x:c r="F11" s="222" t="str">
        <x:v>Verify load basis, then add reps</x:v>
      </x:c>
      <x:c r="G11" s="222" t="str">
        <x:v>Shoulder blades against pad; controlled depth</x:v>
      </x:c>
      <x:c r="H11" s="222" t="str">
        <x:v>In progress / To verify</x:v>
      </x:c>
      <x:c r="I11" s="222" t="str">
        <x:v>Prior per-side convention conflicts with unreconfirmed current basis; preserve uncertainty</x:v>
      </x:c>
    </x:row>
    <x:row r="12" ht="40" hidden="0" customHeight="1">
      <x:c r="A12" s="222" t="str">
        <x:v>Chest</x:v>
      </x:c>
      <x:c r="B12" s="222" t="str">
        <x:v>Cable Fly</x:v>
      </x:c>
      <x:c r="C12" s="222" t="str">
        <x:v>25 kg/side x 12 @ RIR 2</x:v>
      </x:c>
      <x:c r="D12" s="222" t="str">
        <x:v>20-25 kg/side</x:v>
      </x:c>
      <x:c r="E12" s="222" t="str">
        <x:v>25 kg/side x 12 for 2 sets @ RIR 2</x:v>
      </x:c>
      <x:c r="F12" s="222" t="str">
        <x:v>Remove 15 kg working set; build second top set</x:v>
      </x:c>
      <x:c r="G12" s="222" t="str">
        <x:v>Soft elbow bend; hugging arc</x:v>
      </x:c>
      <x:c r="H12" s="222" t="str">
        <x:v>In progress</x:v>
      </x:c>
      <x:c r="I12" s="222" t="str">
        <x:v>20 kg x 15-18 @ RIR 3, then two 25 kg sets</x:v>
      </x:c>
    </x:row>
    <x:row r="13" ht="40" hidden="0" customHeight="1">
      <x:c r="A13" s="222" t="str">
        <x:v>Chest</x:v>
      </x:c>
      <x:c r="B13" s="222" t="str">
        <x:v>Pec Deck Fly</x:v>
      </x:c>
      <x:c r="C13" s="222" t="str">
        <x:v>60 kg x 9 @ RIR 2</x:v>
      </x:c>
      <x:c r="D13" s="222" t="str">
        <x:v>50-60 kg</x:v>
      </x:c>
      <x:c r="E13" s="222" t="str">
        <x:v>60 kg x 10 @ RIR 2</x:v>
      </x:c>
      <x:c r="F13" s="222" t="str">
        <x:v>Add rep; monitor upper-biceps response</x:v>
      </x:c>
      <x:c r="G13" s="222" t="str">
        <x:v>Relax grip; fixed soft elbow; drive elbows</x:v>
      </x:c>
      <x:c r="H13" s="222" t="str">
        <x:v>In progress</x:v>
      </x:c>
      <x:c r="I13" s="222" t="str">
        <x:v>No pain or upper-biceps issue reported today</x:v>
      </x:c>
    </x:row>
    <x:row r="14" ht="15" hidden="0" customHeight="1">
      <x:c r="A14" s="222" t="str">
        <x:v>Biceps</x:v>
      </x:c>
      <x:c r="B14" s="222" t="str">
        <x:v>EZ Bar Curl</x:v>
      </x:c>
      <x:c r="C14" s="222" t="str">
        <x:v>15 kg/side × 7</x:v>
      </x:c>
      <x:c r="D14" s="222" t="str">
        <x:v>12.5–15 kg/side</x:v>
      </x:c>
      <x:c r="E14" s="222" t="str">
        <x:v>15 kg/side × 8</x:v>
      </x:c>
      <x:c r="F14" s="222" t="str">
        <x:v>Add reps first</x:v>
      </x:c>
      <x:c r="G14" s="222" t="str">
        <x:v>No body swing</x:v>
      </x:c>
      <x:c r="H14" s="222" t="str">
        <x:v>In progress</x:v>
      </x:c>
      <x:c r="I14" s="222"/>
    </x:row>
    <x:row r="15" ht="15" hidden="0" customHeight="1">
      <x:c r="A15" s="222" t="str">
        <x:v>Biceps</x:v>
      </x:c>
      <x:c r="B15" s="222" t="str">
        <x:v>Hammer Curl</x:v>
      </x:c>
      <x:c r="C15" s="222" t="str">
        <x:v>17.5 kg each x 11 @ RIR 2</x:v>
      </x:c>
      <x:c r="D15" s="222" t="str">
        <x:v>15-17.5 kg each</x:v>
      </x:c>
      <x:c r="E15" s="222" t="str">
        <x:v>17.5 kg each x 12 @ RIR 2</x:v>
      </x:c>
      <x:c r="F15" s="222" t="str">
        <x:v>Add one clean rep</x:v>
      </x:c>
      <x:c r="G15" s="222" t="str">
        <x:v>Neutral wrists; no swing</x:v>
      </x:c>
      <x:c r="H15" s="222" t="str">
        <x:v>In progress</x:v>
      </x:c>
      <x:c r="I15" s="222" t="str">
        <x:v>Exactly two sets; both pain-free and unassisted</x:v>
      </x:c>
    </x:row>
    <x:row r="16" ht="15" hidden="0" customHeight="1">
      <x:c r="A16" s="222" t="str">
        <x:v>Biceps</x:v>
      </x:c>
      <x:c r="B16" s="222" t="str">
        <x:v>Plate Curl Machine</x:v>
      </x:c>
      <x:c r="C16" s="222" t="str">
        <x:v>12.5 kg/side x 11 @ RIR 3</x:v>
      </x:c>
      <x:c r="D16" s="222" t="str">
        <x:v>7.5-12.5 kg/side</x:v>
      </x:c>
      <x:c r="E16" s="222" t="str">
        <x:v>12.5 kg/side x 12 @ RIR 2</x:v>
      </x:c>
      <x:c r="F16" s="222" t="str">
        <x:v>No 15 kg until target is earned</x:v>
      </x:c>
      <x:c r="G16" s="222" t="str">
        <x:v>Upper arms fixed</x:v>
      </x:c>
      <x:c r="H16" s="222" t="str">
        <x:v>In progress</x:v>
      </x:c>
      <x:c r="I16" s="222" t="str">
        <x:v>All three sets improved reserve; machine replaced incline curl in this combined session</x:v>
      </x:c>
    </x:row>
    <x:row r="17" ht="15" hidden="0" customHeight="1">
      <x:c r="A17" s="222" t="str">
        <x:v>Biceps</x:v>
      </x:c>
      <x:c r="B17" s="222" t="str">
        <x:v>Cable Curl</x:v>
      </x:c>
      <x:c r="C17" s="222" t="str">
        <x:v>40 kg x 10 @ RIR 1</x:v>
      </x:c>
      <x:c r="D17" s="222" t="str">
        <x:v>Historical baseline</x:v>
      </x:c>
      <x:c r="E17" s="222" t="str">
        <x:v>Not in active sequence</x:v>
      </x:c>
      <x:c r="F17" s="222" t="str">
        <x:v>Preserve history</x:v>
      </x:c>
      <x:c r="G17" s="222" t="str">
        <x:v>Elbows close</x:v>
      </x:c>
      <x:c r="H17" s="222" t="str">
        <x:v>Replaced</x:v>
      </x:c>
      <x:c r="I17" s="222" t="str">
        <x:v>Incline Dumbbell Curl now occupies this active slot</x:v>
      </x:c>
    </x:row>
    <x:row r="18" ht="15" hidden="0" customHeight="1">
      <x:c r="A18" s="222" t="str">
        <x:v>Biceps</x:v>
      </x:c>
      <x:c r="B18" s="222" t="str">
        <x:v>Reverse EZ Curl</x:v>
      </x:c>
      <x:c r="C18" s="222" t="str">
        <x:v>10 kg/side x 11 @ RIR 1</x:v>
      </x:c>
      <x:c r="D18" s="222" t="str">
        <x:v>5-10 kg/side</x:v>
      </x:c>
      <x:c r="E18" s="222" t="str">
        <x:v>10 kg/side x 11 @ RIR 2</x:v>
      </x:c>
      <x:c r="F18" s="222" t="str">
        <x:v>Improve reserve</x:v>
      </x:c>
      <x:c r="G18" s="222" t="str">
        <x:v>Wrists neutral</x:v>
      </x:c>
      <x:c r="H18" s="222" t="str">
        <x:v>Modify effort</x:v>
      </x:c>
      <x:c r="I18" s="222" t="str">
        <x:v>Bar excluded; only 2 sets used to preserve session cap</x:v>
      </x:c>
    </x:row>
    <x:row r="19" ht="15" hidden="0" customHeight="1">
      <x:c r="A19" s="222" t="str">
        <x:v>Biceps</x:v>
      </x:c>
      <x:c r="B19" s="222" t="str">
        <x:v>Concentration Curl</x:v>
      </x:c>
      <x:c r="C19" s="222" t="str">
        <x:v>12.5 kg each x 10 @ RIR 1</x:v>
      </x:c>
      <x:c r="D19" s="222" t="str">
        <x:v>7.5-12.5 kg each</x:v>
      </x:c>
      <x:c r="E19" s="222" t="str">
        <x:v>12.5 kg each x 10 @ RIR 2</x:v>
      </x:c>
      <x:c r="F19" s="222" t="str">
        <x:v>Improve reserve; no failure</x:v>
      </x:c>
      <x:c r="G19" s="222" t="str">
        <x:v>Elbow fixed; no swing</x:v>
      </x:c>
      <x:c r="H19" s="222" t="str">
        <x:v>Modify effort</x:v>
      </x:c>
      <x:c r="I19" s="222" t="str">
        <x:v>Clean and controlled; exactly 3 sets next time</x:v>
      </x:c>
    </x:row>
    <x:row r="20" ht="48" hidden="0" customHeight="1">
      <x:c r="A20" s="169" t="str">
        <x:v>Legs</x:v>
      </x:c>
      <x:c r="B20" s="169" t="str">
        <x:v>Hack Squat</x:v>
      </x:c>
      <x:c r="C20" s="169" t="str">
        <x:v>65 kg/side x 8 @ RIR 2</x:v>
      </x:c>
      <x:c r="D20" s="169" t="str">
        <x:v>35-65 kg/side</x:v>
      </x:c>
      <x:c r="E20" s="169" t="str">
        <x:v>65 kg/side x 9 @ RIR 2</x:v>
      </x:c>
      <x:c r="F20" s="169" t="str">
        <x:v>Add rep before load</x:v>
      </x:c>
      <x:c r="G20" s="169" t="str">
        <x:v>Controlled depth; knees track toes</x:v>
      </x:c>
      <x:c r="H20" s="169" t="str">
        <x:v>In progress</x:v>
      </x:c>
      <x:c r="I20" s="169" t="str">
        <x:v>Machine carriage excluded; one rep below prior session</x:v>
      </x:c>
    </x:row>
    <x:row r="21" ht="48" hidden="0" customHeight="1">
      <x:c r="A21" s="169" t="str">
        <x:v>Legs</x:v>
      </x:c>
      <x:c r="B21" s="169" t="str">
        <x:v>Leg Press</x:v>
      </x:c>
      <x:c r="C21" s="169" t="str">
        <x:v>160 kg x 7 unassisted @ RIR 1</x:v>
      </x:c>
      <x:c r="D21" s="169" t="str">
        <x:v>100-140 kg total</x:v>
      </x:c>
      <x:c r="E21" s="169" t="str">
        <x:v>140 kg x 10 @ RIR 2</x:v>
      </x:c>
      <x:c r="F21" s="169" t="str">
        <x:v>Exactly 3 sets; omit 160 kg</x:v>
      </x:c>
      <x:c r="G21" s="169" t="str">
        <x:v>Hips on pad; controlled depth</x:v>
      </x:c>
      <x:c r="H21" s="169" t="str">
        <x:v>Modify volume/effort / To verify</x:v>
      </x:c>
      <x:c r="I21" s="169" t="str">
        <x:v>160 kg improved to seven unassisted but was extra and RIR 1; historical load discrepancy remains To verify</x:v>
      </x:c>
    </x:row>
    <x:row r="22" ht="48" hidden="0" customHeight="1">
      <x:c r="A22" s="169" t="str">
        <x:v>Legs</x:v>
      </x:c>
      <x:c r="B22" s="169" t="str">
        <x:v>Leg Extension</x:v>
      </x:c>
      <x:c r="C22" s="169" t="str">
        <x:v>50 kg x 11 @ RIR 2</x:v>
      </x:c>
      <x:c r="D22" s="169" t="str">
        <x:v>40-50 kg</x:v>
      </x:c>
      <x:c r="E22" s="169" t="str">
        <x:v>50 kg x 12 @ RIR 2</x:v>
      </x:c>
      <x:c r="F22" s="169" t="str">
        <x:v>Add one clean rep</x:v>
      </x:c>
      <x:c r="G22" s="169" t="str">
        <x:v>Controlled eccentric; no forceful lockout</x:v>
      </x:c>
      <x:c r="H22" s="169" t="str">
        <x:v>In progress</x:v>
      </x:c>
      <x:c r="I22" s="169" t="str">
        <x:v>Matched prior session at intended reserve</x:v>
      </x:c>
    </x:row>
    <x:row r="23" ht="48" hidden="0" customHeight="1">
      <x:c r="A23" s="169" t="str">
        <x:v>Legs</x:v>
      </x:c>
      <x:c r="B23" s="169" t="str">
        <x:v>Leg Curl</x:v>
      </x:c>
      <x:c r="C23" s="169" t="str">
        <x:v>35 kg x 9 @ RIR 1</x:v>
      </x:c>
      <x:c r="D23" s="169" t="str">
        <x:v>30-35 kg</x:v>
      </x:c>
      <x:c r="E23" s="169" t="str">
        <x:v>35 kg x 9-10 @ RIR 2</x:v>
      </x:c>
      <x:c r="F23" s="169" t="str">
        <x:v>Improve reserve; no extra set</x:v>
      </x:c>
      <x:c r="G23" s="169" t="str">
        <x:v>Full range; controlled eccentric</x:v>
      </x:c>
      <x:c r="H23" s="169" t="str">
        <x:v>Modify effort</x:v>
      </x:c>
      <x:c r="I23" s="169" t="str">
        <x:v>Repeated prior result; 30 kg set also one reserve harder than target</x:v>
      </x:c>
    </x:row>
    <x:row r="24" ht="48" hidden="0" customHeight="1">
      <x:c r="A24" s="169" t="str">
        <x:v>Legs</x:v>
      </x:c>
      <x:c r="B24" s="169" t="str">
        <x:v>Abductor Machine</x:v>
      </x:c>
      <x:c r="C24" s="169" t="str">
        <x:v>60 kg x 12 @ RIR 2</x:v>
      </x:c>
      <x:c r="D24" s="169" t="str">
        <x:v>50-60 kg</x:v>
      </x:c>
      <x:c r="E24" s="169" t="str">
        <x:v>60 kg x 13-15 @ RIR 2</x:v>
      </x:c>
      <x:c r="F24" s="169" t="str">
        <x:v>Add reps first</x:v>
      </x:c>
      <x:c r="G24" s="169" t="str">
        <x:v>Controlled</x:v>
      </x:c>
      <x:c r="H24" s="169" t="str">
        <x:v>In progress</x:v>
      </x:c>
      <x:c r="I24" s="169"/>
    </x:row>
    <x:row r="25" ht="48" hidden="0" customHeight="1">
      <x:c r="A25" s="169" t="str">
        <x:v>Legs</x:v>
      </x:c>
      <x:c r="B25" s="169" t="str">
        <x:v>Adductor Machine</x:v>
      </x:c>
      <x:c r="C25" s="169" t="str">
        <x:v>50 kg x 10 @ RIR 1</x:v>
      </x:c>
      <x:c r="D25" s="169" t="str">
        <x:v>40-50 kg</x:v>
      </x:c>
      <x:c r="E25" s="169" t="str">
        <x:v>50 kg x 10 @ RIR 2</x:v>
      </x:c>
      <x:c r="F25" s="169" t="str">
        <x:v>Improve reserve</x:v>
      </x:c>
      <x:c r="G25" s="169" t="str">
        <x:v>Controlled squeeze</x:v>
      </x:c>
      <x:c r="H25" s="169" t="str">
        <x:v>In progress</x:v>
      </x:c>
      <x:c r="I25" s="169"/>
    </x:row>
    <x:row r="26" ht="48" hidden="0" customHeight="1">
      <x:c r="A26" s="169" t="str">
        <x:v>Legs</x:v>
      </x:c>
      <x:c r="B26" s="169" t="str">
        <x:v>Standing Calf Raise</x:v>
      </x:c>
      <x:c r="C26" s="169" t="str">
        <x:v>20 kg/side x 17 @ RIR 2</x:v>
      </x:c>
      <x:c r="D26" s="169" t="str">
        <x:v>10-20 kg/side</x:v>
      </x:c>
      <x:c r="E26" s="169" t="str">
        <x:v>20 kg/side x 17 then 15-17 @ RIR 2</x:v>
      </x:c>
      <x:c r="F26" s="169" t="str">
        <x:v>Use 3 sets when leg press is 3 sets</x:v>
      </x:c>
      <x:c r="G26" s="169" t="str">
        <x:v>Full stretch; pause at top</x:v>
      </x:c>
      <x:c r="H26" s="169" t="str">
        <x:v>In progress</x:v>
      </x:c>
      <x:c r="I26" s="169" t="str">
        <x:v>Both targets met; two sets used to preserve 18-set ceiling</x:v>
      </x:c>
    </x:row>
    <x:row r="27" ht="26.399999618530273" hidden="0" customHeight="1">
      <x:c r="A27" s="170" t="str">
        <x:v>Shoulders</x:v>
      </x:c>
      <x:c r="B27" s="170" t="str">
        <x:v>Dumbbell Shoulder Press</x:v>
      </x:c>
      <x:c r="C27" s="170" t="str">
        <x:v>25 kg each x 9 @ RIR 2</x:v>
      </x:c>
      <x:c r="D27" s="170" t="str">
        <x:v>20-25 kg each</x:v>
      </x:c>
      <x:c r="E27" s="170" t="str">
        <x:v>25 kg each x 9-10 @ RIR 2</x:v>
      </x:c>
      <x:c r="F27" s="170" t="str">
        <x:v>Exactly 3 working sets; omit 17.5 kg working set</x:v>
      </x:c>
      <x:c r="G27" s="170" t="str">
        <x:v>Neutral wrist; controlled path</x:v>
      </x:c>
      <x:c r="H27" s="170" t="str">
        <x:v>Modify volume</x:v>
      </x:c>
      <x:c r="I27" s="170" t="str">
        <x:v>15 kg preparation; 25 kg progressed cleanly but was extra fourth working set</x:v>
      </x:c>
    </x:row>
    <x:row r="28" ht="26.399999618530273" hidden="0" customHeight="1">
      <x:c r="A28" s="170" t="str">
        <x:v>Shoulders</x:v>
      </x:c>
      <x:c r="B28" s="170" t="str">
        <x:v>Dumbbell Lateral Raise</x:v>
      </x:c>
      <x:c r="C28" s="170" t="str">
        <x:v>10 kg each x 12 @ RIR 0</x:v>
      </x:c>
      <x:c r="D28" s="170" t="str">
        <x:v>7.5-10 kg each</x:v>
      </x:c>
      <x:c r="E28" s="170" t="str">
        <x:v>7.5 kg each, 3 x 12-15 @ RIR 2</x:v>
      </x:c>
      <x:c r="F28" s="170" t="str">
        <x:v>Reduce failure; own every rep</x:v>
      </x:c>
      <x:c r="G28" s="170" t="str">
        <x:v>No swing or shrug; slow eccentric</x:v>
      </x:c>
      <x:c r="H28" s="170" t="str">
        <x:v>Modify effort</x:v>
      </x:c>
      <x:c r="I28" s="170" t="str">
        <x:v>All four baseline sets reached RIR 0; do not use 12.5 kg yet</x:v>
      </x:c>
    </x:row>
    <x:row r="29" ht="26.399999618530273" hidden="0" customHeight="1">
      <x:c r="A29" s="170" t="str">
        <x:v>Shoulders</x:v>
      </x:c>
      <x:c r="B29" s="170" t="str">
        <x:v>Face Pull</x:v>
      </x:c>
      <x:c r="C29" s="170" t="str">
        <x:v>45 kg x10 @ RIR 3</x:v>
      </x:c>
      <x:c r="D29" s="170" t="str">
        <x:v>40-45 kg total stack</x:v>
      </x:c>
      <x:c r="E29" s="170" t="str">
        <x:v>Exactly 2 sets: 40 kg x12-13 @3; 45 kg x10-11 @2-3</x:v>
      </x:c>
      <x:c r="F29" s="170" t="str">
        <x:v>No third set; add controlled reps</x:v>
      </x:c>
      <x:c r="G29" s="170" t="str">
        <x:v>Rope to eye/forehead; no lean-back</x:v>
      </x:c>
      <x:c r="H29" s="170" t="str">
        <x:v>In progress</x:v>
      </x:c>
      <x:c r="I29" s="170" t="str">
        <x:v>35 kg x15 @4 was extra low-fatigue work; 3 sets completed despite 2-set plan</x:v>
      </x:c>
    </x:row>
    <x:row r="30" ht="26.399999618530273" hidden="0" customHeight="1">
      <x:c r="A30" s="170" t="str">
        <x:v>Shoulders</x:v>
      </x:c>
      <x:c r="B30" s="170" t="str">
        <x:v>Reverse Pec Deck</x:v>
      </x:c>
      <x:c r="C30" s="170" t="str">
        <x:v>40 kg x 9 @ RIR 2</x:v>
      </x:c>
      <x:c r="D30" s="170" t="str">
        <x:v>30-40 kg</x:v>
      </x:c>
      <x:c r="E30" s="170" t="str">
        <x:v>40 kg x 9-10 @ RIR 2</x:v>
      </x:c>
      <x:c r="F30" s="170" t="str">
        <x:v>Add rep before load</x:v>
      </x:c>
      <x:c r="G30" s="170" t="str">
        <x:v>Chest on pad; lead elbows</x:v>
      </x:c>
      <x:c r="H30" s="170" t="str">
        <x:v>In progress</x:v>
      </x:c>
      <x:c r="I30" s="170" t="str">
        <x:v>All sets RIR 2; third set exceeded live two-set reduction</x:v>
      </x:c>
    </x:row>
    <x:row r="31" ht="39.599998474121094" hidden="0" customHeight="1">
      <x:c r="A31" s="170" t="str">
        <x:v>Shoulders</x:v>
      </x:c>
      <x:c r="B31" s="170" t="str">
        <x:v>Single-Arm Cable Lateral Raise</x:v>
      </x:c>
      <x:c r="C31" s="170" t="str">
        <x:v>10 kg x 15 each arm @ RIR 2</x:v>
      </x:c>
      <x:c r="D31" s="170" t="str">
        <x:v>5-10 kg stack</x:v>
      </x:c>
      <x:c r="E31" s="170" t="str">
        <x:v>10 kg x 16 each arm @ RIR 2</x:v>
      </x:c>
      <x:c r="F31" s="170" t="str">
        <x:v>Add reps first</x:v>
      </x:c>
      <x:c r="G31" s="170" t="str">
        <x:v>Raise to shoulder height</x:v>
      </x:c>
      <x:c r="H31" s="170" t="str">
        <x:v>In progress</x:v>
      </x:c>
      <x:c r="I31" s="170" t="str">
        <x:v>Both 10 kg sets progressed from 12 to 15 reps</x:v>
      </x:c>
    </x:row>
    <x:row r="32" ht="26.399999618530273" hidden="0" customHeight="1">
      <x:c r="A32" s="170" t="str">
        <x:v>Shoulders</x:v>
      </x:c>
      <x:c r="B32" s="170" t="str">
        <x:v>Dumbbell Shrugs</x:v>
      </x:c>
      <x:c r="C32" s="170" t="str">
        <x:v>40 kg each x12 @ RIR 2</x:v>
      </x:c>
      <x:c r="D32" s="170" t="str">
        <x:v>35-40 kg each</x:v>
      </x:c>
      <x:c r="E32" s="170" t="str">
        <x:v>35 kg each x15-16 @3; 40 kg each x13 @2</x:v>
      </x:c>
      <x:c r="F32" s="170" t="str">
        <x:v>Add reps before load</x:v>
      </x:c>
      <x:c r="G32" s="170" t="str">
        <x:v>Vertical shrug; one-second top pause; straight arms</x:v>
      </x:c>
      <x:c r="H32" s="170" t="str">
        <x:v>Active / Preferred</x:v>
      </x:c>
      <x:c r="I32" s="170" t="str">
        <x:v>Both planned sets achieved; exact top pause To verify</x:v>
      </x:c>
    </x:row>
    <x:row r="33" ht="48" hidden="0" customHeight="1">
      <x:c r="A33" s="170" t="str">
        <x:v>Triceps</x:v>
      </x:c>
      <x:c r="B33" s="170" t="str">
        <x:v>Straight-Bar Pushdown</x:v>
      </x:c>
      <x:c r="C33" s="170" t="str">
        <x:v>60 kg x 9 @ RIR 2</x:v>
      </x:c>
      <x:c r="D33" s="170" t="str">
        <x:v>50-60 kg</x:v>
      </x:c>
      <x:c r="E33" s="170" t="str">
        <x:v>60 kg x 10 @ RIR 2</x:v>
      </x:c>
      <x:c r="F33" s="170" t="str">
        <x:v>Add rep before load</x:v>
      </x:c>
      <x:c r="G33" s="170" t="str">
        <x:v>Elbows fixed; torso still</x:v>
      </x:c>
      <x:c r="H33" s="170" t="str">
        <x:v>In progress</x:v>
      </x:c>
      <x:c r="I33" s="170" t="str">
        <x:v>All three sets stayed at RIR 2</x:v>
      </x:c>
    </x:row>
    <x:row r="34" ht="48" hidden="0" customHeight="1">
      <x:c r="A34" s="170" t="str">
        <x:v>Triceps</x:v>
      </x:c>
      <x:c r="B34" s="170" t="str">
        <x:v>Rope Pushdown</x:v>
      </x:c>
      <x:c r="C34" s="170" t="str">
        <x:v>40 kg x 10 @ RIR 2</x:v>
      </x:c>
      <x:c r="D34" s="170" t="str">
        <x:v>30-40 kg</x:v>
      </x:c>
      <x:c r="E34" s="170" t="str">
        <x:v>35 kg x 13-14 @ RIR 2</x:v>
      </x:c>
      <x:c r="F34" s="170" t="str">
        <x:v>Exactly 2 sets; no third set</x:v>
      </x:c>
      <x:c r="G34" s="170" t="str">
        <x:v>Spread rope; slow return</x:v>
      </x:c>
      <x:c r="H34" s="170" t="str">
        <x:v>Modify volume</x:v>
      </x:c>
      <x:c r="I34" s="170" t="str">
        <x:v>Use 30 and 35 kg only next time to control total volume</x:v>
      </x:c>
    </x:row>
    <x:row r="35" ht="48" hidden="0" customHeight="1">
      <x:c r="A35" s="170" t="str">
        <x:v>Triceps</x:v>
      </x:c>
      <x:c r="B35" s="170" t="str">
        <x:v>Overhead Rope Extension</x:v>
      </x:c>
      <x:c r="C35" s="170" t="str">
        <x:v>45 kg x 8 @ RIR 1 unplanned</x:v>
      </x:c>
      <x:c r="D35" s="170" t="str">
        <x:v>35-45 kg</x:v>
      </x:c>
      <x:c r="E35" s="170" t="str">
        <x:v>45 kg x 8 @ RIR 2</x:v>
      </x:c>
      <x:c r="F35" s="170" t="str">
        <x:v>Exactly 2 sets; no additional third set</x:v>
      </x:c>
      <x:c r="G35" s="170" t="str">
        <x:v>Ribs down; elbows stable</x:v>
      </x:c>
      <x:c r="H35" s="170" t="str">
        <x:v>Modify volume/effort</x:v>
      </x:c>
      <x:c r="I35" s="170" t="str">
        <x:v>35 and 40 kg met targets; 45 kg was an extra third set and earns no progression credit</x:v>
      </x:c>
    </x:row>
    <x:row r="36" ht="48" hidden="0" customHeight="1">
      <x:c r="A36" s="170" t="str">
        <x:v>Triceps</x:v>
      </x:c>
      <x:c r="B36" s="170" t="str">
        <x:v>Single-Arm Cable Pushdown</x:v>
      </x:c>
      <x:c r="C36" s="170" t="str">
        <x:v>15 kg each arm x 12 @ RIR 2</x:v>
      </x:c>
      <x:c r="D36" s="170" t="str">
        <x:v>10-15 kg</x:v>
      </x:c>
      <x:c r="E36" s="170" t="str">
        <x:v>15 kg each x 12-13 @ RIR 2</x:v>
      </x:c>
      <x:c r="F36" s="170" t="str">
        <x:v>Exactly 2 sets; match both arms</x:v>
      </x:c>
      <x:c r="G36" s="170" t="str">
        <x:v>Elbow fixed; match weaker side</x:v>
      </x:c>
      <x:c r="H36" s="170" t="str">
        <x:v>In progress</x:v>
      </x:c>
      <x:c r="I36" s="170" t="str">
        <x:v>Use 10 and 15 kg only; side-to-side difference To verify</x:v>
      </x:c>
    </x:row>
    <x:row r="37" ht="48" hidden="0" customHeight="1">
      <x:c r="A37" s="170" t="str">
        <x:v>Triceps</x:v>
      </x:c>
      <x:c r="B37" s="170" t="str">
        <x:v>Seated Two-Hand Overhead Dumbbell Extension</x:v>
      </x:c>
      <x:c r="C37" s="170" t="str">
        <x:v>30 kg x 7 @ RIR 2 unplanned</x:v>
      </x:c>
      <x:c r="D37" s="170" t="str">
        <x:v>20-25 kg</x:v>
      </x:c>
      <x:c r="E37" s="170" t="str">
        <x:v>25 kg x 12-13 @ RIR 2</x:v>
      </x:c>
      <x:c r="F37" s="170" t="str">
        <x:v>Exactly 2 sets; no 30 kg next time</x:v>
      </x:c>
      <x:c r="G37" s="170" t="str">
        <x:v>Back supported; ribs down</x:v>
      </x:c>
      <x:c r="H37" s="170" t="str">
        <x:v>Modify volume/load</x:v>
      </x:c>
      <x:c r="I37" s="170" t="str">
        <x:v>25 and 30 kg were added beyond live one-set instruction; no automatic progression credit</x:v>
      </x:c>
    </x:row>
    <x:row r="38" ht="48" hidden="0" customHeight="1">
      <x:c r="A38" s="170" t="str">
        <x:v>Triceps</x:v>
      </x:c>
      <x:c r="B38" s="170" t="str">
        <x:v>Assisted Dip Machine</x:v>
      </x:c>
      <x:c r="C38" s="170" t="str">
        <x:v>50 kg assistance x 9 @ RIR 1</x:v>
      </x:c>
      <x:c r="D38" s="170" t="str">
        <x:v>50-70 kg assistance</x:v>
      </x:c>
      <x:c r="E38" s="170" t="str">
        <x:v>50 kg assistance x 9 @ RIR 2</x:v>
      </x:c>
      <x:c r="F38" s="170" t="str">
        <x:v>Improve reserve before less support</x:v>
      </x:c>
      <x:c r="G38" s="170" t="str">
        <x:v>Controlled depth; no forced reps</x:v>
      </x:c>
      <x:c r="H38" s="170" t="str">
        <x:v>Modify effort</x:v>
      </x:c>
      <x:c r="I38" s="170" t="str">
        <x:v>Higher support weight is easier; completed third set despite live reduction</x:v>
      </x:c>
    </x:row>
    <x:row r="39" ht="34" customHeight="1">
      <x:c r="A39" s="170" t="str">
        <x:v>Back</x:v>
      </x:c>
      <x:c r="B39" s="170" t="str">
        <x:v>Iso-Lateral High Row</x:v>
      </x:c>
      <x:c r="C39" s="170" t="str">
        <x:v>20 kg/side x 10 @ RIR 2</x:v>
      </x:c>
      <x:c r="D39" s="170" t="str">
        <x:v>15-20 kg/side</x:v>
      </x:c>
      <x:c r="E39" s="170" t="str">
        <x:v>20 kg/side x 11-12 @ RIR 2</x:v>
      </x:c>
      <x:c r="F39" s="170" t="str">
        <x:v>Add reps first</x:v>
      </x:c>
      <x:c r="G39" s="170" t="str">
        <x:v>Match both sides; chest stable</x:v>
      </x:c>
      <x:c r="H39" s="170" t="str">
        <x:v>In progress</x:v>
      </x:c>
      <x:c r="I39" s="170" t="str">
        <x:v>New 20 kg/side baseline</x:v>
      </x:c>
    </x:row>
    <x:row r="40" ht="34" customHeight="1">
      <x:c r="A40" s="170" t="str">
        <x:v>Back</x:v>
      </x:c>
      <x:c r="B40" s="170" t="str">
        <x:v>Hyperextension</x:v>
      </x:c>
      <x:c r="C40" s="170" t="str">
        <x:v>Body weight +20 kg x 10 @ RIR 0</x:v>
      </x:c>
      <x:c r="D40" s="170" t="str">
        <x:v>Body weight to +10 kg</x:v>
      </x:c>
      <x:c r="E40" s="170" t="str">
        <x:v>+10 kg x 13-15 @ RIR 2</x:v>
      </x:c>
      <x:c r="F40" s="170" t="str">
        <x:v>Reduce fatigue; no +20 kg</x:v>
      </x:c>
      <x:c r="G40" s="170" t="str">
        <x:v>Hip hinge; neutral spine</x:v>
      </x:c>
      <x:c r="H40" s="170" t="str">
        <x:v>Modify effort</x:v>
      </x:c>
      <x:c r="I40" s="170" t="str">
        <x:v>+20 kg required pause and caused lower-back pump</x:v>
      </x:c>
    </x:row>
    <x:row r="41" ht="40" customHeight="1">
      <x:c r="A41" s="170" t="str">
        <x:v>Chest</x:v>
      </x:c>
      <x:c r="B41" s="170" t="str">
        <x:v>Incline Barbell Bench Press</x:v>
      </x:c>
      <x:c r="C41" s="170" t="str">
        <x:v>17.5 kg/side x 8 @ RIR 2</x:v>
      </x:c>
      <x:c r="D41" s="170" t="str">
        <x:v>12.5-17.5 kg/side</x:v>
      </x:c>
      <x:c r="E41" s="170" t="str">
        <x:v>17.5 kg/side x 9 @ RIR 2</x:v>
      </x:c>
      <x:c r="F41" s="170" t="str">
        <x:v>Add rep before load</x:v>
      </x:c>
      <x:c r="G41" s="170" t="str">
        <x:v>Controlled bar path; no assisted finish</x:v>
      </x:c>
      <x:c r="H41" s="170" t="str">
        <x:v>In progress</x:v>
      </x:c>
      <x:c r="I41" s="170" t="str">
        <x:v>New clean higher-load baseline; bar excluded</x:v>
      </x:c>
    </x:row>
    <x:row r="42" ht="34" customHeight="1">
      <x:c r="A42" s="170" t="str">
        <x:v>Chest</x:v>
      </x:c>
      <x:c r="B42" s="170" t="str">
        <x:v>Low-to-High Cable Fly</x:v>
      </x:c>
      <x:c r="C42" s="170" t="str">
        <x:v>30 kg reported x8 @ RIR 2; load basis To verify</x:v>
      </x:c>
      <x:c r="D42" s="170" t="str">
        <x:v>20-30 kg reported; per-side basis To verify</x:v>
      </x:c>
      <x:c r="E42" s="170" t="str">
        <x:v>One 15 kg prep; 20 x15-16 @3; 25 x13 @2; 30 x9 @2</x:v>
      </x:c>
      <x:c r="F42" s="170" t="str">
        <x:v>Add reps before load; remove redundant prep</x:v>
      </x:c>
      <x:c r="G42" s="170" t="str">
        <x:v>Soft elbow bend; low-to-high arc</x:v>
      </x:c>
      <x:c r="H42" s="170" t="str">
        <x:v>In progress / To verify</x:v>
      </x:c>
      <x:c r="I42" s="170" t="str">
        <x:v>10 and 15 kg produced no meaningful stimulus; exact cable load basis To verify</x:v>
      </x:c>
    </x:row>
    <x:row r="43" ht="38" customHeight="1">
      <x:c r="A43" s="170" t="str">
        <x:v>Biceps</x:v>
      </x:c>
      <x:c r="B43" s="170" t="str">
        <x:v>Straight Bar Curl</x:v>
      </x:c>
      <x:c r="C43" s="170" t="str">
        <x:v>15 kg/side x 8 @ RIR 2</x:v>
      </x:c>
      <x:c r="D43" s="170" t="str">
        <x:v>10-15 kg/side</x:v>
      </x:c>
      <x:c r="E43" s="170" t="str">
        <x:v>15 kg/side x 9 @ RIR 2</x:v>
      </x:c>
      <x:c r="F43" s="170" t="str">
        <x:v>Exactly 3 working sets; add rep before load</x:v>
      </x:c>
      <x:c r="G43" s="170" t="str">
        <x:v>No body swing</x:v>
      </x:c>
      <x:c r="H43" s="170" t="str">
        <x:v>In progress</x:v>
      </x:c>
      <x:c r="I43" s="170" t="str">
        <x:v>Bar excluded; use genuine preparation separately</x:v>
      </x:c>
    </x:row>
    <x:row r="44" ht="48" customHeight="1">
      <x:c r="A44" s="170" t="str">
        <x:v>Shoulders</x:v>
      </x:c>
      <x:c r="B44" s="170" t="str">
        <x:v>Plate-Loaded Lateral Raise Machine</x:v>
      </x:c>
      <x:c r="C44" s="170" t="str">
        <x:v>7.5 kg/side x 8 @ RIR 2</x:v>
      </x:c>
      <x:c r="D44" s="170" t="str">
        <x:v>2.5-7.5 kg/side</x:v>
      </x:c>
      <x:c r="E44" s="170" t="str">
        <x:v>7.5 kg/side x 8-9 @ RIR 2</x:v>
      </x:c>
      <x:c r="F44" s="170" t="str">
        <x:v>Add reps before load</x:v>
      </x:c>
      <x:c r="G44" s="170" t="str">
        <x:v>No shrug; controlled eccentric</x:v>
      </x:c>
      <x:c r="H44" s="170" t="str">
        <x:v>In progress</x:v>
      </x:c>
      <x:c r="I44" s="170" t="str">
        <x:v>New 7.5 kg baseline; unloaded machine resistance To verify</x:v>
      </x:c>
    </x:row>
    <x:row r="45" ht="48" customHeight="1">
      <x:c r="A45" s="170" t="str">
        <x:v>Shoulders</x:v>
      </x:c>
      <x:c r="B45" s="170" t="str">
        <x:v>Cable Upright Row</x:v>
      </x:c>
      <x:c r="C45" s="170" t="str">
        <x:v>60 kg x10 @ RIR 2</x:v>
      </x:c>
      <x:c r="D45" s="170" t="str">
        <x:v>40-60 kg total stack</x:v>
      </x:c>
      <x:c r="E45" s="170" t="str">
        <x:v>40 kg x15 @3; 50 kg x13 @3; 60 kg x11 @2</x:v>
      </x:c>
      <x:c r="F45" s="170" t="str">
        <x:v>Add reps before load</x:v>
      </x:c>
      <x:c r="G45" s="170" t="str">
        <x:v>Pull only to comfortable height; elbows no higher than shoulders</x:v>
      </x:c>
      <x:c r="H45" s="170" t="str">
        <x:v>In progress</x:v>
      </x:c>
      <x:c r="I45" s="170" t="str">
        <x:v>No shoulder pinching; 50 kg reserve and 60 kg reps improved</x:v>
      </x:c>
    </x:row>
    <x:row r="46" ht="48" customHeight="1">
      <x:c r="A46" s="170" t="str">
        <x:v>Core</x:v>
      </x:c>
      <x:c r="B46" s="170" t="str">
        <x:v>Front Plank</x:v>
      </x:c>
      <x:c r="C46" s="170" t="str">
        <x:v>3 x 60 sec; form detail To verify</x:v>
      </x:c>
      <x:c r="D46" s="170" t="str">
        <x:v>Body weight</x:v>
      </x:c>
      <x:c r="E46" s="170" t="str">
        <x:v>3 x 60 sec strict</x:v>
      </x:c>
      <x:c r="F46" s="170" t="str">
        <x:v>Maintain before adding time</x:v>
      </x:c>
      <x:c r="G46" s="170" t="str">
        <x:v>Glutes tight; ribs down; no hip sag</x:v>
      </x:c>
      <x:c r="H46" s="170" t="str">
        <x:v>In progress</x:v>
      </x:c>
      <x:c r="I46" s="170" t="str">
        <x:v>No lower-back pain or breakdown reported on 2026-08-21</x:v>
      </x:c>
    </x:row>
    <x:row r="47" ht="48" customHeight="1">
      <x:c r="A47" s="170" t="str">
        <x:v>Biceps</x:v>
      </x:c>
      <x:c r="B47" s="170" t="str">
        <x:v>Incline Dumbbell Curl</x:v>
      </x:c>
      <x:c r="C47" s="170" t="str">
        <x:v>15 kg each x 8 @ RIR 1</x:v>
      </x:c>
      <x:c r="D47" s="170" t="str">
        <x:v>10-15 kg each</x:v>
      </x:c>
      <x:c r="E47" s="170" t="str">
        <x:v>15 kg each x 8-9 @ RIR 2</x:v>
      </x:c>
      <x:c r="F47" s="170" t="str">
        <x:v>Improve reserve before reps/load</x:v>
      </x:c>
      <x:c r="G47" s="170" t="str">
        <x:v>Bench 45-60 degrees; no forced bottom stretch</x:v>
      </x:c>
      <x:c r="H47" s="170" t="str">
        <x:v>Modify effort</x:v>
      </x:c>
      <x:c r="I47" s="170" t="str">
        <x:v>7.5 kg skipped; 15 kg establishes heavier baseline</x:v>
      </x:c>
    </x:row>
    <x:row r="48" ht="48" customHeight="1">
      <x:c r="A48" s="170" t="str">
        <x:v>Legs</x:v>
      </x:c>
      <x:c r="B48" s="170" t="str">
        <x:v>Dumbbell Romanian Deadlift</x:v>
      </x:c>
      <x:c r="C48" s="170" t="str">
        <x:v>17.5 kg each x 9 @ RIR 2 substitution</x:v>
      </x:c>
      <x:c r="D48" s="170" t="str">
        <x:v>10-15 kg each</x:v>
      </x:c>
      <x:c r="E48" s="170" t="str">
        <x:v>15 kg each x 10-11 @ RIR 2 with hamstrings dominant</x:v>
      </x:c>
      <x:c r="F48" s="170" t="str">
        <x:v>Technique and stimulus before load</x:v>
      </x:c>
      <x:c r="G48" s="170" t="str">
        <x:v>Brace; hips back; dumbbells close</x:v>
      </x:c>
      <x:c r="H48" s="170" t="str">
        <x:v>Modify load/technique</x:v>
      </x:c>
      <x:c r="I48" s="170" t="str">
        <x:v>15 kg unavailable; 17.5 kg substitution was pain-free but hamstring sensation was limited</x:v>
      </x:c>
    </x:row>
    <x:row r="49" ht="52" customHeight="1">
      <x:c r="A49" s="170" t="str">
        <x:v>Shoulders</x:v>
      </x:c>
      <x:c r="B49" s="170" t="str">
        <x:v>Experimental Rear-Delt Lateral-Raise Machine</x:v>
      </x:c>
      <x:c r="C49" s="170" t="str">
        <x:v>2.5 kg/side x 14 for 2 sets @ RIR 2</x:v>
      </x:c>
      <x:c r="D49" s="170" t="str">
        <x:v>Historical experiment only</x:v>
      </x:c>
      <x:c r="E49" s="170" t="str">
        <x:v>Use Reverse Pec Deck in active sequence</x:v>
      </x:c>
      <x:c r="F49" s="170" t="str">
        <x:v>Do not combine both movements</x:v>
      </x:c>
      <x:c r="G49" s="170" t="str">
        <x:v>Exact setup/path To verify</x:v>
      </x:c>
      <x:c r="H49" s="170" t="str">
        <x:v>Experimental / Replaced</x:v>
      </x:c>
      <x:c r="I49" s="170" t="str">
        <x:v>Repeated due equipment/order choice; two sets retained as working fatigue; exact geometry To verify</x:v>
      </x:c>
    </x:row>
    <x:row r="50" ht="52" customHeight="1">
      <x:c r="A50" s="170" t="str">
        <x:v>Shoulders</x:v>
      </x:c>
      <x:c r="B50" s="170" t="str">
        <x:v>Cable Shrug</x:v>
      </x:c>
      <x:c r="C50" s="170" t="str">
        <x:v>80 kg x 13 @ RIR 2; poor trap sensation</x:v>
      </x:c>
      <x:c r="D50" s="170" t="str">
        <x:v>Historical experiment only</x:v>
      </x:c>
      <x:c r="E50" s="170" t="str">
        <x:v>Use Dumbbell Shrug target</x:v>
      </x:c>
      <x:c r="F50" s="170" t="str">
        <x:v>Replace; do not progress cable load</x:v>
      </x:c>
      <x:c r="G50" s="170" t="str">
        <x:v>Straight arms; dedicated shrug path</x:v>
      </x:c>
      <x:c r="H50" s="170" t="str">
        <x:v>Poor stimulus / Replaced</x:v>
      </x:c>
      <x:c r="I50" s="170" t="str">
        <x:v>Elbows tended to bend; effective cable resistance To verify</x:v>
      </x:c>
    </x:row>
    <x:row r="51">
      <x:c r="A51" t="str">
        <x:v>Back</x:v>
      </x:c>
      <x:c r="B51" t="str">
        <x:v>Chest-Supported T-Bar Row</x:v>
      </x:c>
      <x:c r="C51" t="str">
        <x:v>40 kg x 10 @ RIR 1</x:v>
      </x:c>
      <x:c r="D51" t="str">
        <x:v>30-40 kg reported machine load; basis To verify</x:v>
      </x:c>
      <x:c r="E51" t="str">
        <x:v>30 kg x 12-15 @ RIR 3; approximately 35 kg x 10-12 @ RIR 2; 40 kg x 8-10 @ RIR 2</x:v>
      </x:c>
      <x:c r="F51" t="str">
        <x:v>Use only when established row machine is unavailable</x:v>
      </x:c>
      <x:c r="G51" t="str">
        <x:v>Chest fixed to pad; avoid torso lift</x:v>
      </x:c>
      <x:c r="H51" t="str">
        <x:v>New baseline / To verify</x:v>
      </x:c>
      <x:c r="I51" t="str">
        <x:v>Different machine; total plates/displayed load and starting resistance To verify; do not compare with established row machine</x:v>
      </x:c>
    </x:row>
  </x:sheetData>
  <x:mergeCells>
    <x:mergeCell ref="A1:I2"/>
  </x:mergeCells>
  <x:conditionalFormatting sqref="H5:H19">
    <x:cfRule type="expression" dxfId="3" priority="1">
      <x:formula>H5="Achieved"</x:formula>
    </x:cfRule>
    <x:cfRule type="expression" dxfId="4" priority="2">
      <x:formula>H5="Verify"</x:formula>
    </x:cfRule>
  </x:conditionalFormatting>
  <x:dataValidations count="3">
    <x:dataValidation type="list" allowBlank="0" showDropDown="0" showInputMessage="0" showErrorMessage="0" sqref="H5:H19">
      <x:formula1>"In progress,Achieved,Verify,Paused"</x:formula1>
    </x:dataValidation>
    <x:dataValidation type="list" sqref="H5:H32">
      <x:formula1>"Baseline set,In progress,Modify effort,Hold,Progress,To verify"</x:formula1>
    </x:dataValidation>
    <x:dataValidation type="list" sqref="H5:H38">
      <x:formula1>"Baseline set,In progress,Modify effort,Hold,Progress,To verify"</x:formula1>
    </x:dataValidation>
  </x:dataValidations>
  <x:pageMargins left="0.7" right="0.7" top="0.75" bottom="0.75" header="0.3" footer="0.3"/>
  <x:tableParts count="1">
    <x:tablePart xmlns:r="http://schemas.openxmlformats.org/officeDocument/2006/relationships" r:id="Rc5b8a727b7d243d8"/>
  </x:tableParts>
</x:worksheet>
</file>

<file path=xl/worksheets/sheet5.xml><?xml version="1.0" encoding="utf-8"?>
<x:worksheet xmlns:x="http://schemas.openxmlformats.org/spreadsheetml/2006/main">
  <x:sheetFormatPr baseColWidth="8" defaultRowHeight="15"/>
  <x:cols>
    <x:col min="1" max="1" width="12" hidden="0" customWidth="1"/>
    <x:col min="2" max="2" width="13" hidden="0" customWidth="1"/>
    <x:col min="3" max="3" width="13" hidden="0" customWidth="1"/>
    <x:col min="4" max="4" width="11" hidden="0" customWidth="1"/>
    <x:col min="5" max="5" width="11" hidden="0" customWidth="1"/>
    <x:col min="6" max="6" width="38" hidden="0" customWidth="1"/>
    <x:col min="7" max="7" width="14" hidden="0" customWidth="1"/>
    <x:col min="8" max="8" width="14" hidden="0" customWidth="1"/>
    <x:col min="9" max="9" width="14" hidden="0" customWidth="1"/>
    <x:col min="10" max="10" width="28" hidden="0" customWidth="1"/>
    <x:col min="12" max="12" width="11"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34" hidden="0" customWidth="1"/>
  </x:cols>
  <x:sheetData>
    <x:row r="1">
      <x:c r="A1" s="89" t="inlineStr">
        <x:is>
          <x:t xml:space="preserve">Recovery, Body Metrics &amp; Nutrition</x:t>
        </x:is>
      </x:c>
      <x:c r="B1" s="53" t="n"/>
      <x:c r="C1" s="53" t="n"/>
      <x:c r="D1" s="53" t="n"/>
      <x:c r="E1" s="53" t="n"/>
      <x:c r="F1" s="53" t="n"/>
      <x:c r="G1" s="53" t="n"/>
      <x:c r="H1" s="53" t="n"/>
      <x:c r="I1" s="53" t="n"/>
      <x:c r="J1" s="53" t="n"/>
      <x:c r="K1" s="59" t="n"/>
      <x:c r="L1" s="59" t="n"/>
      <x:c r="M1" s="59" t="n"/>
      <x:c r="N1" s="59" t="n"/>
      <x:c r="O1" s="59" t="n"/>
      <x:c r="P1" s="59" t="n"/>
      <x:c r="Q1" s="59" t="n"/>
    </x:row>
    <x:row r="2">
      <x:c r="A2" s="53" t="n"/>
      <x:c r="B2" s="53" t="n"/>
      <x:c r="C2" s="53" t="n"/>
      <x:c r="D2" s="53" t="n"/>
      <x:c r="E2" s="53" t="n"/>
      <x:c r="F2" s="53" t="n"/>
      <x:c r="G2" s="53" t="n"/>
      <x:c r="H2" s="53" t="n"/>
      <x:c r="I2" s="53" t="n"/>
      <x:c r="J2" s="53" t="n"/>
      <x:c r="K2" s="59" t="n"/>
      <x:c r="L2" s="59" t="n"/>
      <x:c r="M2" s="59" t="n"/>
      <x:c r="N2" s="59" t="n"/>
      <x:c r="O2" s="59" t="n"/>
      <x:c r="P2" s="59" t="n"/>
      <x:c r="Q2" s="59" t="n"/>
    </x:row>
    <x:row r="3">
      <x:c r="A3" s="59" t="n"/>
      <x:c r="B3" s="59" t="n"/>
      <x:c r="C3" s="59" t="n"/>
      <x:c r="D3" s="59" t="n"/>
      <x:c r="E3" s="59" t="n"/>
      <x:c r="F3" s="59" t="n"/>
      <x:c r="G3" s="59" t="n"/>
      <x:c r="H3" s="59" t="n"/>
      <x:c r="I3" s="59" t="n"/>
      <x:c r="J3" s="59" t="n"/>
      <x:c r="K3" s="59" t="n"/>
      <x:c r="L3" s="59" t="n"/>
      <x:c r="M3" s="59" t="n"/>
      <x:c r="N3" s="59" t="n"/>
      <x:c r="O3" s="59" t="n"/>
      <x:c r="P3" s="59" t="n"/>
      <x:c r="Q3" s="59" t="n"/>
    </x:row>
    <x:row r="4" ht="15" hidden="0" customHeight="1">
      <x:c r="A4" s="219" t="str">
        <x:v>Date</x:v>
      </x:c>
      <x:c r="B4" s="219" t="str">
        <x:v>Weight (kg)</x:v>
      </x:c>
      <x:c r="C4" s="219" t="str">
        <x:v>Waist (cm)</x:v>
      </x:c>
      <x:c r="D4" s="219" t="str">
        <x:v>Sleep</x:v>
      </x:c>
      <x:c r="E4" s="219" t="str">
        <x:v>Energy</x:v>
      </x:c>
      <x:c r="F4" s="219" t="str">
        <x:v>Soreness / Pain</x:v>
      </x:c>
      <x:c r="G4" s="219" t="str">
        <x:v>Protein (g)</x:v>
      </x:c>
      <x:c r="H4" s="219" t="str">
        <x:v>Water (L)</x:v>
      </x:c>
      <x:c r="I4" s="219" t="str">
        <x:v>Steps / Cardio</x:v>
      </x:c>
      <x:c r="J4" s="219" t="str">
        <x:v>Notes</x:v>
      </x:c>
      <x:c r="K4" s="222" t="n"/>
      <x:c r="L4" s="224" t="str">
        <x:v>Weekly Measurement Check-In</x:v>
      </x:c>
      <x:c r="M4" s="224" t="str">
        <x:v>Weekly Measurement Check-In</x:v>
      </x:c>
      <x:c r="N4" s="224" t="str">
        <x:v>Weekly Measurement Check-In</x:v>
      </x:c>
      <x:c r="O4" s="224" t="str">
        <x:v>Weekly Measurement Check-In</x:v>
      </x:c>
      <x:c r="P4" s="224" t="str">
        <x:v>Weekly Measurement Check-In</x:v>
      </x:c>
      <x:c r="Q4" s="224" t="str">
        <x:v>Weekly Measurement Check-In</x:v>
      </x:c>
      <x:c r="R4" s="224" t="str">
        <x:v>Weekly Measurement Check-In</x:v>
      </x:c>
      <x:c r="S4" s="224" t="str">
        <x:v>Weekly Measurement Check-In</x:v>
      </x:c>
    </x:row>
    <x:row r="5" ht="26.399999618530273" hidden="0" customHeight="1">
      <x:c r="A5" s="220" t="n">
        <x:v>46238</x:v>
      </x:c>
      <x:c r="B5" s="223" t="n">
        <x:v>90</x:v>
      </x:c>
      <x:c r="C5" s="223"/>
      <x:c r="D5" s="170" t="str">
        <x:v>Good</x:v>
      </x:c>
      <x:c r="E5" s="170" t="str">
        <x:v>Medium</x:v>
      </x:c>
      <x:c r="F5" s="170" t="str">
        <x:v>None before workout; mild side-deltoid soreness after chest</x:v>
      </x:c>
      <x:c r="G5" s="170"/>
      <x:c r="H5" s="170"/>
      <x:c r="I5" s="170"/>
      <x:c r="J5" s="170" t="str">
        <x:v>Chest volume was high</x:v>
      </x:c>
      <x:c r="K5" s="222" t="n"/>
      <x:c r="L5" s="225" t="str">
        <x:v>Week</x:v>
      </x:c>
      <x:c r="M5" s="226" t="str">
        <x:v>Week End</x:v>
      </x:c>
      <x:c r="N5" s="226" t="str">
        <x:v>Avg Weight (kg)</x:v>
      </x:c>
      <x:c r="O5" s="226" t="str">
        <x:v>Waist (cm)</x:v>
      </x:c>
      <x:c r="P5" s="226" t="str">
        <x:v>Waist Change (cm)</x:v>
      </x:c>
      <x:c r="Q5" s="226" t="str">
        <x:v>Arm (cm)</x:v>
      </x:c>
      <x:c r="R5" s="226" t="str">
        <x:v>Avg Steps</x:v>
      </x:c>
      <x:c r="S5" s="227" t="str">
        <x:v>Notes</x:v>
      </x:c>
    </x:row>
    <x:row r="6" ht="26.399999618530273" hidden="0" customHeight="1">
      <x:c r="A6" s="220" t="n">
        <x:v>46239</x:v>
      </x:c>
      <x:c r="B6" s="223" t="n">
        <x:v>90</x:v>
      </x:c>
      <x:c r="C6" s="223"/>
      <x:c r="D6" s="170"/>
      <x:c r="E6" s="170"/>
      <x:c r="F6" s="170" t="str">
        <x:v>Side-deltoid muscular soreness 3/10; no joint pain</x:v>
      </x:c>
      <x:c r="G6" s="170"/>
      <x:c r="H6" s="170"/>
      <x:c r="I6" s="170"/>
      <x:c r="J6" s="170" t="str">
        <x:v>Biceps trained; shoulders avoided</x:v>
      </x:c>
      <x:c r="K6" s="222" t="n"/>
      <x:c r="L6" s="147" t="str">
        <x:v>Baseline</x:v>
      </x:c>
      <x:c r="M6" s="148"/>
      <x:c r="N6" s="149" t="n">
        <x:v>90</x:v>
      </x:c>
      <x:c r="O6" s="149"/>
      <x:c r="P6" s="149"/>
      <x:c r="Q6" s="150"/>
      <x:c r="R6" s="151"/>
      <x:c r="S6" s="152" t="str">
        <x:v>Historical provisional weight retained; no verified waist was available at that point.</x:v>
      </x:c>
    </x:row>
    <x:row r="7" ht="118.80000305175781" hidden="0" customHeight="1">
      <x:c r="A7" s="220" t="n">
        <x:v>46240</x:v>
      </x:c>
      <x:c r="B7" s="223" t="n">
        <x:v>90</x:v>
      </x:c>
      <x:c r="C7" s="223"/>
      <x:c r="D7" s="170" t="str">
        <x:v>Okay</x:v>
      </x:c>
      <x:c r="E7" s="170" t="str">
        <x:v>Medium</x:v>
      </x:c>
      <x:c r="F7" s="170" t="str">
        <x:v>Biceps soreness none; shoulder soreness better</x:v>
      </x:c>
      <x:c r="G7" s="170"/>
      <x:c r="H7" s="170"/>
      <x:c r="I7" s="170" t="str">
        <x:v>Leg workout</x:v>
      </x:c>
      <x:c r="J7" s="170" t="str">
        <x:v>First fully tracked leg day</x:v>
      </x:c>
      <x:c r="K7" s="222" t="n"/>
      <x:c r="L7" s="153" t="str">
        <x:v>Week 1</x:v>
      </x:c>
      <x:c r="M7" s="154" t="n">
        <x:v>46243</x:v>
      </x:c>
      <x:c r="N7" s="155" t="n">
        <x:v>88.8</x:v>
      </x:c>
      <x:c r="O7" s="155" t="n">
        <x:v>99.1</x:v>
      </x:c>
      <x:c r="P7" s="155"/>
      <x:c r="Q7" s="156"/>
      <x:c r="R7" s="157"/>
      <x:c r="S7" s="158" t="str">
        <x:v>First reported Sunday baseline. 88.8 kg is one morning reading, not a weekly average. Waist 39 in = 99.1 cm. Bathroom/pre-food conditions to verify. The 91.5 kg post-workout gym reading is non-comparable and is not used for trend calculations. Follow-up confirmed: measurements were taken after using the bathroom and before eating or drinking.</x:v>
      </x:c>
    </x:row>
    <x:row r="8" ht="132" hidden="0" customHeight="1">
      <x:c r="A8" s="220" t="n">
        <x:v>46241</x:v>
      </x:c>
      <x:c r="B8" s="223"/>
      <x:c r="C8" s="223"/>
      <x:c r="D8" s="170" t="str">
        <x:v>Okay</x:v>
      </x:c>
      <x:c r="E8" s="170" t="str">
        <x:v>Medium</x:v>
      </x:c>
      <x:c r="F8" s="170" t="str">
        <x:v>No shoulder or lower-back pain before, during, or after workout</x:v>
      </x:c>
      <x:c r="G8" s="170"/>
      <x:c r="H8" s="170"/>
      <x:c r="I8" s="170" t="str">
        <x:v>Shoulder workout - 75 min</x:v>
      </x:c>
      <x:c r="J8" s="170" t="str">
        <x:v>Completed 6 exercises / 20 set entries (19 working + 1 warm-up); no assisted repetitions; final energy Low-Medium; full EAA+ Energy scoop (100 mg caffeine); no black coffee. User reported feeling equally energetic without black coffee; sleep response to the 100 mg EAA+ caffeine remains To verify tomorrow morning.</x:v>
      </x:c>
      <x:c r="K8" s="222" t="n"/>
      <x:c r="L8" s="153" t="str">
        <x:v>Week 2</x:v>
      </x:c>
      <x:c r="M8" s="154" t="n">
        <x:v>46250</x:v>
      </x:c>
      <x:c r="N8" s="155" t="n">
        <x:v>88.3</x:v>
      </x:c>
      <x:c r="O8" s="155" t="n">
        <x:v>96.5</x:v>
      </x:c>
      <x:c r="P8" s="155" t="n">
        <x:v>-2.6</x:v>
      </x:c>
      <x:c r="Q8" s="156"/>
      <x:c r="R8" s="157" t="str">
        <x:f>IF(M8="","",IFERROR(AVERAGEIFS($I$5:$I$200,$A$5:$A$200,"&gt;="&amp;M8-6,$A$5:$A$200,"&lt;="&amp;M8),""))</x:f>
      </x:c>
      <x:c r="S8" s="158" t="str">
        <x:v>Second standardized Sunday point. Single morning reading, not a weekly average. After bathroom and before food/drink; abdomen relaxed; tape at navel. Change versus 2026-08-09: -0.5 kg and -2.6 cm. Use the multi-week trend before attributing the full change to fat loss.</x:v>
      </x:c>
    </x:row>
    <x:row r="9" ht="264" hidden="0" customHeight="1">
      <x:c r="A9" s="220" t="n">
        <x:v>46242</x:v>
      </x:c>
      <x:c r="B9" s="223"/>
      <x:c r="C9" s="223"/>
      <x:c r="D9" s="170" t="str">
        <x:v>Excellent</x:v>
      </x:c>
      <x:c r="E9" s="170" t="str">
        <x:v>High</x:v>
      </x:c>
      <x:c r="F9" s="170" t="str">
        <x:v>No shoulder, elbow, lower-back or other pain before, during or after Triceps workout</x:v>
      </x:c>
      <x:c r="G9" s="170"/>
      <x:c r="H9" s="170"/>
      <x:c r="I9" s="170" t="str">
        <x:v>Triceps workout - 90 min</x:v>
      </x:c>
      <x:c r="J9" s="170" t="str">
        <x:v>No-coffee trial follow-up: felt naturally sleepy earlier after gym, but deliberately delayed bedtime to about 02:30 for weekend leisure; woke about 10:30 after approximately 8 hours; sleep felt very good and relaxing; morning energy was high with no sleepiness. Previous session used one full EAA+ Energy scoop (100 mg caffeine) and no black coffee. Subjective one-night outcome. Triceps follow-up: started about 18:30; medium pre/post energy; completed 6 exercises / 21 set entries (20 working + 1 warm-up); no forced repetitions; assisted dips used machine support; no black coffee; EAA+ used, but today's serving amount was not reconfirmed and remains To verify.</x:v>
      </x:c>
      <x:c r="K9" s="222" t="n"/>
      <x:c r="L9" s="153" t="str">
        <x:v>Week 3</x:v>
      </x:c>
      <x:c r="M9" s="154"/>
      <x:c r="N9" s="155" t="str">
        <x:f>IF(M9="","",IFERROR(AVERAGEIFS($B$5:$B$200,$A$5:$A$200,"&gt;="&amp;M9-6,$A$5:$A$200,"&lt;="&amp;M9),""))</x:f>
      </x:c>
      <x:c r="O9" s="155"/>
      <x:c r="P9" s="155" t="str">
        <x:f>IF(O9="","",IFERROR(O9-$O$6,""))</x:f>
      </x:c>
      <x:c r="Q9" s="156"/>
      <x:c r="R9" s="157" t="str">
        <x:f>IF(M9="","",IFERROR(AVERAGEIFS($I$5:$I$200,$A$5:$A$200,"&gt;="&amp;M9-6,$A$5:$A$200,"&lt;="&amp;M9),""))</x:f>
      </x:c>
      <x:c r="S9" s="158"/>
    </x:row>
    <x:row r="10" ht="224.39999389648438" hidden="0" customHeight="1">
      <x:c r="A10" s="220" t="n">
        <x:v>46243</x:v>
      </x:c>
      <x:c r="B10" s="223" t="n">
        <x:v>88.8</x:v>
      </x:c>
      <x:c r="C10" s="223" t="n">
        <x:v>99.1</x:v>
      </x:c>
      <x:c r="D10" s="170" t="str">
        <x:v>Okay</x:v>
      </x:c>
      <x:c r="E10" s="170" t="str">
        <x:v>Not recorded</x:v>
      </x:c>
      <x:c r="F10" s="170" t="str">
        <x:v>No soreness or pain reported</x:v>
      </x:c>
      <x:c r="G10" s="170"/>
      <x:c r="H10" s="170"/>
      <x:c r="I10" s="170" t="str">
        <x:v>Sunday rest / measurement check-in</x:v>
      </x:c>
      <x:c r="J10" s="170" t="str">
        <x:v>Feeling good. First reported Sunday morning baseline: 88.8 kg and 39 in (99.1 cm) at the navel. Bathroom/pre-food conditions were requested previously but not explicitly reconfirmed in this reply. A separate 91.5 kg gym-machine reading was taken post-workout at night and is preserved as non-comparable because time, scale, clothing, food and fluid conditions differed. EAA+ routine confirmed as one full scoop every workout. Follow-up confirmed: measurements were taken after using the bathroom and before eating or drinking.</x:v>
      </x:c>
      <x:c r="K10" s="222" t="n"/>
      <x:c r="L10" s="159" t="str">
        <x:v>Week 4</x:v>
      </x:c>
      <x:c r="M10" s="160"/>
      <x:c r="N10" s="161" t="str">
        <x:f>IF(M10="","",IFERROR(AVERAGEIFS($B$5:$B$200,$A$5:$A$200,"&gt;="&amp;M10-6,$A$5:$A$200,"&lt;="&amp;M10),""))</x:f>
      </x:c>
      <x:c r="O10" s="161"/>
      <x:c r="P10" s="161" t="str">
        <x:f>IF(O10="","",IFERROR(O10-$O$6,""))</x:f>
      </x:c>
      <x:c r="Q10" s="162"/>
      <x:c r="R10" s="163" t="str">
        <x:f>IF(M10="","",IFERROR(AVERAGEIFS($I$5:$I$200,$A$5:$A$200,"&gt;="&amp;M10-6,$A$5:$A$200,"&lt;="&amp;M10),""))</x:f>
      </x:c>
      <x:c r="S10" s="164"/>
    </x:row>
    <x:row r="11" ht="180" customHeight="1">
      <x:c r="A11" s="379" t="n">
        <x:v>46244</x:v>
      </x:c>
      <x:c r="B11" s="325"/>
      <x:c r="C11" s="325"/>
      <x:c r="D11" s="325" t="str">
        <x:v>Good</x:v>
      </x:c>
      <x:c r="E11" s="325" t="str">
        <x:v>Low to medium final</x:v>
      </x:c>
      <x:c r="F11" s="325" t="str">
        <x:v>No pain; slight triceps sensation after straight-arm work</x:v>
      </x:c>
      <x:c r="G11" s="325"/>
      <x:c r="H11" s="325"/>
      <x:c r="I11" s="325" t="str">
        <x:v>Back workout - 90 min</x:v>
      </x:c>
      <x:c r="J11" s="325" t="str">
        <x:v>Full EAA+ scoop; additional black coffee To verify; no assisted reps</x:v>
      </x:c>
      <x:c r="K11" s="59" t="n"/>
      <x:c r="L11" s="59" t="n"/>
      <x:c r="M11" s="59" t="n"/>
      <x:c r="N11" s="59" t="n"/>
      <x:c r="O11" s="59" t="n"/>
      <x:c r="P11" s="59" t="n"/>
      <x:c r="Q11" s="59" t="n"/>
    </x:row>
    <x:row r="12">
      <x:c r="A12" s="220" t="n">
        <x:v>46245</x:v>
      </x:c>
      <x:c r="B12" s="170"/>
      <x:c r="C12" s="170"/>
      <x:c r="D12" s="170" t="str">
        <x:v>Good</x:v>
      </x:c>
      <x:c r="E12" s="170" t="str">
        <x:v>Low final</x:v>
      </x:c>
      <x:c r="F12" s="170" t="str">
        <x:v>No pain</x:v>
      </x:c>
      <x:c r="G12" s="170"/>
      <x:c r="H12" s="170"/>
      <x:c r="I12" s="170" t="str">
        <x:v>Chest workout</x:v>
      </x:c>
      <x:c r="J12" s="170" t="str">
        <x:v>Full EAA+ scoop; duration and extra caffeine To verify; final incline rep nearly assisted</x:v>
      </x:c>
      <x:c r="K12" s="59" t="n"/>
      <x:c r="L12" s="59" t="n"/>
      <x:c r="M12" s="59" t="n"/>
      <x:c r="N12" s="59" t="n"/>
      <x:c r="O12" s="59" t="n"/>
      <x:c r="P12" s="59" t="n"/>
      <x:c r="Q12" s="59" t="n"/>
    </x:row>
    <x:row r="13">
      <x:c r="A13" s="220" t="n">
        <x:v>46246</x:v>
      </x:c>
      <x:c r="B13" s="170"/>
      <x:c r="C13" s="170"/>
      <x:c r="D13" s="170" t="str">
        <x:v>Good</x:v>
      </x:c>
      <x:c r="E13" s="170" t="str">
        <x:v>Low final</x:v>
      </x:c>
      <x:c r="F13" s="170" t="str">
        <x:v>No pain</x:v>
      </x:c>
      <x:c r="G13" s="170"/>
      <x:c r="H13" s="170"/>
      <x:c r="I13" s="170" t="str">
        <x:v>Biceps workout - 90 min</x:v>
      </x:c>
      <x:c r="J13" s="170" t="str">
        <x:v>Full EAA+ scoop; no black coffee; no assistance or body swing</x:v>
      </x:c>
      <x:c r="K13" s="59" t="n"/>
      <x:c r="L13" s="59" t="n"/>
      <x:c r="M13" s="59" t="n"/>
      <x:c r="N13" s="59" t="n"/>
      <x:c r="O13" s="59" t="n"/>
      <x:c r="P13" s="59" t="n"/>
      <x:c r="Q13" s="59" t="n"/>
    </x:row>
    <x:row r="14">
      <x:c r="A14" s="220" t="n">
        <x:v>46247</x:v>
      </x:c>
      <x:c r="B14" s="170"/>
      <x:c r="C14" s="170"/>
      <x:c r="D14" s="170" t="str">
        <x:v>Good</x:v>
      </x:c>
      <x:c r="E14" s="170" t="str">
        <x:v>Low final</x:v>
      </x:c>
      <x:c r="F14" s="170" t="str">
        <x:v>No knee, hip or lower-back pain</x:v>
      </x:c>
      <x:c r="G14" s="170"/>
      <x:c r="H14" s="170"/>
      <x:c r="I14" s="170" t="str">
        <x:v>Leg workout - 90 min</x:v>
      </x:c>
      <x:c r="J14" s="170" t="str">
        <x:v>Easier stairs than prior leg session; 4 hand-assisted reps at 150 kg leg press; delayed soreness To verify</x:v>
      </x:c>
      <x:c r="K14" s="59" t="n"/>
      <x:c r="L14" s="59" t="n"/>
      <x:c r="M14" s="59" t="n"/>
      <x:c r="N14" s="59" t="n"/>
      <x:c r="O14" s="59" t="n"/>
      <x:c r="P14" s="59" t="n"/>
      <x:c r="Q14" s="59" t="n"/>
    </x:row>
    <x:row r="15">
      <x:c r="A15" s="220" t="n">
        <x:v>46248</x:v>
      </x:c>
      <x:c r="B15" s="170"/>
      <x:c r="C15" s="170"/>
      <x:c r="D15" s="170" t="str">
        <x:v>Good</x:v>
      </x:c>
      <x:c r="E15" s="170" t="str">
        <x:v>Medium final</x:v>
      </x:c>
      <x:c r="F15" s="170" t="str">
        <x:v>No pain</x:v>
      </x:c>
      <x:c r="G15" s="170"/>
      <x:c r="H15" s="170"/>
      <x:c r="I15" s="170" t="str">
        <x:v>Shoulder workout - 90 min</x:v>
      </x:c>
      <x:c r="J15" s="170" t="str">
        <x:v>Full EAA+ scoop; no assistance; lateral-machine loaded-set count To verify</x:v>
      </x:c>
      <x:c r="K15" s="59" t="n"/>
      <x:c r="L15" s="59" t="n"/>
      <x:c r="M15" s="59" t="n"/>
      <x:c r="N15" s="59" t="n"/>
      <x:c r="O15" s="59" t="n"/>
      <x:c r="P15" s="59" t="n"/>
      <x:c r="Q15" s="59" t="n"/>
    </x:row>
    <x:row r="16">
      <x:c r="A16" s="220" t="n">
        <x:v>46249</x:v>
      </x:c>
      <x:c r="B16" s="170"/>
      <x:c r="C16" s="170"/>
      <x:c r="D16" s="170" t="str">
        <x:v>Very good</x:v>
      </x:c>
      <x:c r="E16" s="170" t="str">
        <x:v>Medium final</x:v>
      </x:c>
      <x:c r="F16" s="170" t="str">
        <x:v>No pain</x:v>
      </x:c>
      <x:c r="G16" s="170"/>
      <x:c r="H16" s="170"/>
      <x:c r="I16" s="170" t="str">
        <x:v>Triceps + 10-min incline walk + 2 x 60-sec plank</x:v>
      </x:c>
      <x:c r="J16" s="170" t="str">
        <x:v>Full EAA+ scoop; coffee To verify; no forced reps; treadmill speed unit To verify</x:v>
      </x:c>
      <x:c r="K16" s="59" t="n"/>
      <x:c r="L16" s="59" t="n"/>
      <x:c r="M16" s="59" t="n"/>
      <x:c r="N16" s="59" t="n"/>
      <x:c r="O16" s="59" t="n"/>
      <x:c r="P16" s="59" t="n"/>
      <x:c r="Q16" s="59" t="n"/>
    </x:row>
    <x:row r="17">
      <x:c r="A17" s="220" t="n">
        <x:v>46251</x:v>
      </x:c>
      <x:c r="B17" s="170"/>
      <x:c r="C17" s="170"/>
      <x:c r="D17" s="170" t="str">
        <x:v>Good</x:v>
      </x:c>
      <x:c r="E17" s="170" t="str">
        <x:v>Low final</x:v>
      </x:c>
      <x:c r="F17" s="170" t="str">
        <x:v>Lower-back muscular pump; no pain; no shoulder/elbow pain</x:v>
      </x:c>
      <x:c r="G17" s="170"/>
      <x:c r="H17" s="170"/>
      <x:c r="I17" s="170" t="str">
        <x:v>Back workout - 75 min</x:v>
      </x:c>
      <x:c r="J17" s="170" t="str">
        <x:v>Full EAA+ scoop; no black coffee; no assistance; +20 kg hyperextension paused and reached RIR 0; morning freshness To verify</x:v>
      </x:c>
      <x:c r="K17" s="59" t="n"/>
      <x:c r="L17" s="59" t="n"/>
      <x:c r="M17" s="59" t="n"/>
      <x:c r="N17" s="59" t="n"/>
      <x:c r="O17" s="59" t="n"/>
      <x:c r="P17" s="59" t="n"/>
      <x:c r="Q17" s="59" t="n"/>
    </x:row>
    <x:row r="18">
      <x:c r="A18" s="220" t="n">
        <x:v>46252</x:v>
      </x:c>
      <x:c r="B18" s="170"/>
      <x:c r="C18" s="170"/>
      <x:c r="D18" s="170" t="str">
        <x:v>Good</x:v>
      </x:c>
      <x:c r="E18" s="170" t="str">
        <x:v>Medium to low final</x:v>
      </x:c>
      <x:c r="F18" s="170" t="str">
        <x:v>No pain; little lower-biceps pump after final cable fly</x:v>
      </x:c>
      <x:c r="G18" s="170"/>
      <x:c r="H18" s="170"/>
      <x:c r="I18" s="170" t="str">
        <x:v>Chest workout - 90 min; medium chest pump; 3 x 60-sec strict plank</x:v>
      </x:c>
      <x:c r="J18" s="170" t="str">
        <x:v>Full EAA+ scoop; no black coffee; no assisted reps; lower-biceps pump side and resolution To verify</x:v>
      </x:c>
      <x:c r="K18" s="59" t="n"/>
      <x:c r="L18" s="59" t="n"/>
      <x:c r="M18" s="59" t="n"/>
      <x:c r="N18" s="59" t="n"/>
      <x:c r="O18" s="59" t="n"/>
      <x:c r="P18" s="59" t="n"/>
      <x:c r="Q18" s="59" t="n"/>
    </x:row>
    <x:row r="19">
      <x:c r="A19" s="220" t="n">
        <x:v>46250</x:v>
      </x:c>
      <x:c r="B19" s="170" t="n">
        <x:v>88.3</x:v>
      </x:c>
      <x:c r="C19" s="170" t="n">
        <x:v>96.5</x:v>
      </x:c>
      <x:c r="D19" s="170"/>
      <x:c r="E19" s="170"/>
      <x:c r="F19" s="170"/>
      <x:c r="G19" s="170"/>
      <x:c r="H19" s="170"/>
      <x:c r="I19" s="170" t="str">
        <x:v>Standardized Sunday measurement check-in</x:v>
      </x:c>
      <x:c r="J19" s="170" t="str">
        <x:v>After bathroom and before food/drink; abdomen relaxed; tape at navel level; verified; photos not supplied</x:v>
      </x:c>
      <x:c r="K19" s="59" t="n"/>
      <x:c r="L19" s="59" t="n"/>
      <x:c r="M19" s="59" t="n"/>
      <x:c r="N19" s="59" t="n"/>
      <x:c r="O19" s="59" t="n"/>
      <x:c r="P19" s="59" t="n"/>
      <x:c r="Q19" s="59" t="n"/>
    </x:row>
    <x:row r="20">
      <x:c r="A20" s="220" t="n">
        <x:v>46253</x:v>
      </x:c>
      <x:c r="B20" s="170"/>
      <x:c r="C20" s="170"/>
      <x:c r="D20" s="170" t="str">
        <x:v>Good</x:v>
      </x:c>
      <x:c r="E20" s="170" t="str">
        <x:v>Low final</x:v>
      </x:c>
      <x:c r="F20" s="170" t="str">
        <x:v>Usual overall biceps sensation; no unusual lower-biceps symptom; no elbow, wrist or shoulder pain</x:v>
      </x:c>
      <x:c r="G20" s="170"/>
      <x:c r="H20" s="170"/>
      <x:c r="I20" s="170" t="str">
        <x:v>Biceps workout - 90 min; medium-high pump</x:v>
      </x:c>
      <x:c r="J20" s="170" t="str">
        <x:v>Started Medium-High; full EAA+ scoop (100 mg caffeine); no black coffee; no assistance or body swing; incline and concentration curls clean and controlled</x:v>
      </x:c>
      <x:c r="K20" s="59" t="n"/>
      <x:c r="L20" s="59" t="n"/>
      <x:c r="M20" s="59" t="n"/>
      <x:c r="N20" s="59" t="n"/>
      <x:c r="O20" s="59" t="n"/>
      <x:c r="P20" s="59" t="n"/>
      <x:c r="Q20" s="59" t="n"/>
    </x:row>
    <x:row r="21">
      <x:c r="A21" s="220" t="n">
        <x:v>46254</x:v>
      </x:c>
      <x:c r="B21" s="170"/>
      <x:c r="C21" s="170"/>
      <x:c r="D21" s="170" t="str">
        <x:v>Good</x:v>
      </x:c>
      <x:c r="E21" s="170" t="str">
        <x:v>Low final</x:v>
      </x:c>
      <x:c r="F21" s="170" t="str">
        <x:v>Post: normal lower-back pump; little hip pain (side, location, trigger and 0-10 severity To verify); no knee pain reported</x:v>
      </x:c>
      <x:c r="G21" s="170"/>
      <x:c r="H21" s="170"/>
      <x:c r="I21" s="170" t="str">
        <x:v>Leg workout - 100 min; stairs/walking better than last Legs session</x:v>
      </x:c>
      <x:c r="J21" s="170" t="str">
        <x:v>Started Medium; full EAA+ scoop (100 mg caffeine); no coffee; approximately 2-3 assisted reps on 150 kg leg press, all other sets unassisted; pre-session soreness and pre-session knee/hip/lower-back status To verify</x:v>
      </x:c>
      <x:c r="K21" s="59" t="n"/>
      <x:c r="L21" s="59" t="n"/>
      <x:c r="M21" s="59" t="n"/>
      <x:c r="N21" s="59" t="n"/>
      <x:c r="O21" s="59" t="n"/>
      <x:c r="P21" s="59" t="n"/>
      <x:c r="Q21" s="59" t="n"/>
    </x:row>
    <x:row r="22">
      <x:c r="A22" s="220" t="n">
        <x:v>46255</x:v>
      </x:c>
      <x:c r="B22" s="170"/>
      <x:c r="C22" s="170"/>
      <x:c r="D22" s="170" t="str">
        <x:v>Good</x:v>
      </x:c>
      <x:c r="E22" s="170" t="str">
        <x:v>Medium final</x:v>
      </x:c>
      <x:c r="F22" s="170" t="str">
        <x:v>No pain; low-medium shoulder pump; delayed shoulder soreness To verify the following morning</x:v>
      </x:c>
      <x:c r="G22" s="170"/>
      <x:c r="H22" s="170"/>
      <x:c r="I22" s="170" t="str">
        <x:v>Shoulders + 3 x 60-sec plank + 10-min treadmill - 100 min</x:v>
      </x:c>
      <x:c r="J22" s="170" t="str">
        <x:v>Started Medium-High; full EAA+ scoop (100 mg caffeine); no coffee; no assistance; treadmill 12% incline at displayed speed 4 (unit To verify); cable shrug had poor trap sensation and elbow-bend tendency</x:v>
      </x:c>
      <x:c r="K22" s="59" t="n"/>
      <x:c r="L22" s="59" t="n"/>
      <x:c r="M22" s="59" t="n"/>
      <x:c r="N22" s="59" t="n"/>
      <x:c r="O22" s="59" t="n"/>
      <x:c r="P22" s="59" t="n"/>
      <x:c r="Q22" s="59" t="n"/>
    </x:row>
    <x:row r="23">
      <x:c r="A23" s="220" t="n">
        <x:v>46256</x:v>
      </x:c>
      <x:c r="B23" s="170"/>
      <x:c r="C23" s="170"/>
      <x:c r="D23" s="170" t="str">
        <x:v>Good</x:v>
      </x:c>
      <x:c r="E23" s="170" t="str">
        <x:v>Low final</x:v>
      </x:c>
      <x:c r="F23" s="170" t="str">
        <x:v>Very little shoulder soreness, unchanged from pre-workout; no shoulder, elbow or wrist pain</x:v>
      </x:c>
      <x:c r="G23" s="170"/>
      <x:c r="H23" s="170"/>
      <x:c r="I23" s="170" t="str">
        <x:v>Triceps workout - 75 min; 19 working sets; medium pump; no formal cardio/core</x:v>
      </x:c>
      <x:c r="J23" s="170" t="str">
        <x:v>Started Medium; full EAA+ scoop (100 mg caffeine); no coffee; no forced reps; machine-assisted dips were working sets, not forced repetitions; cardio omitted due Low final energy</x:v>
      </x:c>
      <x:c r="K23" s="59" t="n"/>
      <x:c r="L23" s="59" t="n"/>
      <x:c r="M23" s="59" t="n"/>
      <x:c r="N23" s="59" t="n"/>
      <x:c r="O23" s="59" t="n"/>
      <x:c r="P23" s="59" t="n"/>
      <x:c r="Q23" s="59" t="n"/>
    </x:row>
    <x:row r="24">
      <x:c r="A24" s="220" t="n">
        <x:v>46257</x:v>
      </x:c>
      <x:c r="B24" s="170" t="n">
        <x:v>87.7</x:v>
      </x:c>
      <x:c r="C24" s="170" t="n">
        <x:v>96.5</x:v>
      </x:c>
      <x:c r="D24" s="170"/>
      <x:c r="E24" s="170"/>
      <x:c r="F24" s="170"/>
      <x:c r="G24" s="170"/>
      <x:c r="H24" s="170"/>
      <x:c r="I24" s="170" t="str">
        <x:v>Standardized morning body check-in</x:v>
      </x:c>
      <x:c r="J24" s="170" t="str">
        <x:v>Before food/drink; no morning bowel movement because bowel movement occurred around midnight; repeated scale readings 87.6-87.7 kg; 88.7 kg previous-day conditions To verify; abdomen relaxed at navel</x:v>
      </x:c>
      <x:c r="K24" s="59" t="n"/>
      <x:c r="L24" s="59" t="n"/>
      <x:c r="M24" s="59" t="n"/>
      <x:c r="N24" s="59" t="n"/>
      <x:c r="O24" s="59" t="n"/>
      <x:c r="P24" s="59" t="n"/>
      <x:c r="Q24" s="59" t="n"/>
    </x:row>
    <x:row r="25">
      <x:c r="A25" s="220" t="n">
        <x:v>46258</x:v>
      </x:c>
      <x:c r="B25" s="170"/>
      <x:c r="C25" s="170"/>
      <x:c r="D25" s="170" t="str">
        <x:v>Good</x:v>
      </x:c>
      <x:c r="E25" s="170" t="str">
        <x:v>Low final</x:v>
      </x:c>
      <x:c r="F25" s="170" t="str">
        <x:v>No back, biceps, elbow, shoulder or lower-back pain; no unusual sensation reported</x:v>
      </x:c>
      <x:c r="G25" s="170"/>
      <x:c r="H25" s="170"/>
      <x:c r="I25" s="170" t="str">
        <x:v>Back + Biceps workout - 75 min; 20 entries; no cardio/core</x:v>
      </x:c>
      <x:c r="J25" s="170" t="str">
        <x:v>Started Medium-High; full EAA+ scoop (100 mg caffeine); coffee consumed in morning, amount/time To verify; no assistance or breakdown; pre-existing muscular soreness To verify</x:v>
      </x:c>
      <x:c r="K25" s="59" t="n"/>
      <x:c r="L25" s="59" t="n"/>
      <x:c r="M25" s="59" t="n"/>
      <x:c r="N25" s="59" t="n"/>
      <x:c r="O25" s="59" t="n"/>
      <x:c r="P25" s="59" t="n"/>
      <x:c r="Q25" s="59" t="n"/>
    </x:row>
    <x:row r="26">
      <x:c r="A26" s="220" t="n">
        <x:v>46259</x:v>
      </x:c>
      <x:c r="B26" s="170"/>
      <x:c r="C26" s="170"/>
      <x:c r="D26" s="170" t="str">
        <x:v>Good</x:v>
      </x:c>
      <x:c r="E26" s="170" t="str">
        <x:v>Low final</x:v>
      </x:c>
      <x:c r="F26" s="170" t="str">
        <x:v>No chest, shoulder, elbow or wrist pain; strong non-painful upper-biceps/arm pump likely pec-deck-related; exact side To verify</x:v>
      </x:c>
      <x:c r="G26" s="170"/>
      <x:c r="H26" s="170"/>
      <x:c r="I26" s="170" t="str">
        <x:v>Chest + Triceps workout - 75 min; 20 entries; 19 meaningful sets; no cardio/core</x:v>
      </x:c>
      <x:c r="J26" s="170" t="str">
        <x:v>Started Medium; medium chest/triceps pump; full EAA+ scoop (100 mg caffeine); no coffee; no assistance or breakdown; all overhead-rope sets clean; upper-biceps pump felt strongly but not painful</x:v>
      </x:c>
      <x:c r="K26" s="59" t="n"/>
      <x:c r="L26" s="59" t="n"/>
      <x:c r="M26" s="59" t="n"/>
      <x:c r="N26" s="59" t="n"/>
      <x:c r="O26" s="59" t="n"/>
      <x:c r="P26" s="59" t="n"/>
      <x:c r="Q26" s="59" t="n"/>
    </x:row>
    <x:row r="27">
      <x:c r="A27" s="220" t="n">
        <x:v>46260</x:v>
      </x:c>
      <x:c r="B27" s="170"/>
      <x:c r="C27" s="170"/>
      <x:c r="D27" s="170" t="str">
        <x:v>Good</x:v>
      </x:c>
      <x:c r="E27" s="170" t="str">
        <x:v>Low final</x:v>
      </x:c>
      <x:c r="F27" s="170" t="str">
        <x:v>No shoulder, elbow, wrist, biceps or other pain; prior upper-biceps pump resolved</x:v>
      </x:c>
      <x:c r="G27" s="170"/>
      <x:c r="H27" s="170"/>
      <x:c r="I27" s="170" t="str">
        <x:v>Shoulders + Biceps workout - 75 min; 19 entries; 18 working sets; no core/cardio</x:v>
      </x:c>
      <x:c r="J27" s="170" t="str">
        <x:v>Started Medium; medium shoulder/trap pump; full EAA+ scoop (100 mg caffeine); no coffee; no assistance or breakdown; 25 kg press and 60 kg upright row clean; no extra 15 kg curl</x:v>
      </x:c>
      <x:c r="K27" s="59" t="n"/>
      <x:c r="L27" s="59" t="n"/>
      <x:c r="M27" s="59" t="n"/>
      <x:c r="N27" s="59" t="n"/>
      <x:c r="O27" s="59" t="n"/>
      <x:c r="P27" s="59" t="n"/>
      <x:c r="Q27" s="59" t="n"/>
    </x:row>
    <x:row r="28" ht="72" customHeight="1">
      <x:c r="A28" s="220" t="n">
        <x:v>46261</x:v>
      </x:c>
      <x:c r="B28" s="170"/>
      <x:c r="C28" s="170"/>
      <x:c r="D28" s="170" t="str">
        <x:v>Good</x:v>
      </x:c>
      <x:c r="E28" s="170" t="str">
        <x:v>Low final</x:v>
      </x:c>
      <x:c r="F28" s="170" t="str">
        <x:v>No lower-back, knee or hip pain; RDL felt mainly in hamstrings with a little non-painful lower-back involvement</x:v>
      </x:c>
      <x:c r="G28" s="170"/>
      <x:c r="H28" s="170"/>
      <x:c r="I28" s="170" t="str">
        <x:v>Leg workout - 90 min; exactly 18 working sets; medium leg/lower-back pump; no cardio/core</x:v>
      </x:c>
      <x:c r="J28" s="170" t="str">
        <x:v>Started Medium; full EAA+ scoop (100 mg caffeine); no coffee; only two final repetitions at 160 kg leg press were human-assisted; no other assistance or form breakdown</x:v>
      </x:c>
      <x:c r="K28" s="59" t="n"/>
      <x:c r="L28" s="59" t="n"/>
      <x:c r="M28" s="59" t="n"/>
      <x:c r="N28" s="59" t="n"/>
      <x:c r="O28" s="59" t="n"/>
      <x:c r="P28" s="59" t="n"/>
      <x:c r="Q28" s="59" t="n"/>
    </x:row>
    <x:row r="29" ht="76" customHeight="1">
      <x:c r="A29" s="220" t="n">
        <x:v>46265</x:v>
      </x:c>
      <x:c r="B29" s="170"/>
      <x:c r="C29" s="170"/>
      <x:c r="D29" s="170" t="str">
        <x:v>Good</x:v>
      </x:c>
      <x:c r="E29" s="170" t="str">
        <x:v>Low final</x:v>
      </x:c>
      <x:c r="F29" s="170" t="str">
        <x:v>No chest, shoulder, elbow, upper-biceps, knee, hip or lower-back pain; no pre-session soreness</x:v>
      </x:c>
      <x:c r="G29" s="170"/>
      <x:c r="H29" s="170"/>
      <x:c r="I29" s="170" t="str">
        <x:v>Chest + Triceps workout - 100 min total; 17 working sets plus one warm-up; 15 min treadmill at 12% incline; speed reported as 3-4 mph range</x:v>
      </x:c>
      <x:c r="J29" s="170" t="str">
        <x:v>Started Medium; medium chest/triceps pump; full EAA+ scoop (100 mg caffeine); no coffee; creatine not started; no human assistance or form breakdown; no pain during cardio</x:v>
      </x:c>
      <x:c r="K29" s="59" t="n"/>
      <x:c r="L29" s="59" t="n"/>
      <x:c r="M29" s="59" t="n"/>
      <x:c r="N29" s="59" t="n"/>
      <x:c r="O29" s="59" t="n"/>
      <x:c r="P29" s="59" t="n"/>
      <x:c r="Q29" s="59" t="n"/>
    </x:row>
    <x:row r="30" ht="76" customHeight="1">
      <x:c r="A30" s="220" t="n">
        <x:v>46266</x:v>
      </x:c>
      <x:c r="B30" s="170"/>
      <x:c r="C30" s="170"/>
      <x:c r="D30" s="170" t="str">
        <x:v>Good</x:v>
      </x:c>
      <x:c r="E30" s="170" t="str">
        <x:v>Low final</x:v>
      </x:c>
      <x:c r="F30" s="170" t="str">
        <x:v>No back, lower-back, shoulder, elbow or biceps pain; no pre-session soreness; no pain or adverse symptoms during cardio</x:v>
      </x:c>
      <x:c r="G30" s="170"/>
      <x:c r="H30" s="170"/>
      <x:c r="I30" s="170" t="str">
        <x:v>Back + Biceps workout - 90 min total; 16 working sets plus three preparation sets; medium pump; 20 min treadmill at 3 km/h and 12% incline</x:v>
      </x:c>
      <x:c r="J30" s="170" t="str">
        <x:v>Started Medium; full EAA+ scoop (100 mg caffeine); no coffee; no assistance or reported form breakdown; treadmill showed '200k', provisionally interpreted as approximately 200 kcal machine estimate To verify; rail support and creatine status To verify</x:v>
      </x:c>
      <x:c r="K30" s="59" t="n"/>
      <x:c r="L30" s="59" t="n"/>
      <x:c r="M30" s="59" t="n"/>
      <x:c r="N30" s="59" t="n"/>
      <x:c r="O30" s="59" t="n"/>
      <x:c r="P30" s="59" t="n"/>
      <x:c r="Q30" s="59" t="n"/>
    </x:row>
    <x:row r="31" ht="76" customHeight="1">
      <x:c r="A31" s="220" t="n">
        <x:v>46267</x:v>
      </x:c>
      <x:c r="B31" s="170"/>
      <x:c r="C31" s="170"/>
      <x:c r="D31" s="170" t="str">
        <x:v>Good</x:v>
      </x:c>
      <x:c r="E31" s="170" t="str">
        <x:v>Medium to Low final</x:v>
      </x:c>
      <x:c r="F31" s="170" t="str">
        <x:v>No shoulder, elbow, wrist, back or lower-back pain; no pre-session soreness; no cardio symptoms</x:v>
      </x:c>
      <x:c r="G31" s="170"/>
      <x:c r="H31" s="170"/>
      <x:c r="I31" s="170" t="str">
        <x:v>Shoulders + Triceps workout - 90 min total; 19 working sets plus one preparation set; medium pump; 20 min treadmill at 3.5 km/h and 12% incline</x:v>
      </x:c>
      <x:c r="J31" s="170" t="str">
        <x:v>Started Medium; full EAA+ scoop (100 mg caffeine); no coffee; no assistance or reported form breakdown; no rail support or cardio symptoms; creatine status To verify</x:v>
      </x:c>
      <x:c r="K31" s="59" t="n"/>
      <x:c r="L31" s="59" t="n"/>
      <x:c r="M31" s="59" t="n"/>
      <x:c r="N31" s="59" t="n"/>
      <x:c r="O31" s="59" t="n"/>
      <x:c r="P31" s="59" t="n"/>
      <x:c r="Q31" s="59" t="n"/>
    </x:row>
    <x:row r="32" ht="76" customHeight="1">
      <x:c r="A32" s="220" t="n">
        <x:v>46268</x:v>
      </x:c>
      <x:c r="B32" s="170"/>
      <x:c r="C32" s="170"/>
      <x:c r="D32" s="170" t="str">
        <x:v>Good</x:v>
      </x:c>
      <x:c r="E32" s="170" t="str">
        <x:v>Low final</x:v>
      </x:c>
      <x:c r="F32" s="170" t="str">
        <x:v>No hip, knee, lower-back or other pain; no pre-session soreness</x:v>
      </x:c>
      <x:c r="G32" s="170"/>
      <x:c r="H32" s="170"/>
      <x:c r="I32" s="170" t="str">
        <x:v>Legs + Calves workout - 80 min; exactly 18 working sets; medium leg pump; no cardio/core</x:v>
      </x:c>
      <x:c r="J32" s="170" t="str">
        <x:v>Started Medium; full EAA+ scoop (100 mg caffeine); no coffee; no assistance or reported form breakdown; 160 kg leg press all seven reps unassisted; creatine status To verify</x:v>
      </x:c>
      <x:c r="K32" s="59" t="n"/>
      <x:c r="L32" s="59" t="n"/>
      <x:c r="M32" s="59" t="n"/>
      <x:c r="N32" s="59" t="n"/>
      <x:c r="O32" s="59" t="n"/>
      <x:c r="P32" s="59" t="n"/>
      <x:c r="Q32" s="59" t="n"/>
    </x:row>
    <x:row r="33" ht="105" customHeight="1">
      <x:c r="A33" s="220" t="n">
        <x:v>46269</x:v>
      </x:c>
      <x:c r="B33" s="170"/>
      <x:c r="C33" s="170"/>
      <x:c r="D33" s="170" t="str">
        <x:v>Good</x:v>
      </x:c>
      <x:c r="E33" s="170" t="str">
        <x:v>Medium to Low final</x:v>
      </x:c>
      <x:c r="F33" s="170" t="str">
        <x:v>No chest, shoulder, elbow, wrist or upper-biceps pain; no upright-row shoulder pinching; pre-session soreness/pain To verify</x:v>
      </x:c>
      <x:c r="G33" s="170"/>
      <x:c r="H33" s="170"/>
      <x:c r="I33" s="170" t="str">
        <x:v>Chest + Shoulders workout - 90 min total; 17 working sets plus three preparation sets; medium pump; 20 min treadmill at 3 km/h and 12% incline</x:v>
      </x:c>
      <x:c r="J33" s="170" t="str">
        <x:v>Starting energy To verify; half EAA+ (~50 mg caffeine) plus half pre-workout (~100 mg user-stated; label To verify); no coffee; no assistance/form breakdown; 3 g creatine started post-workout with whey; rail support and cardio symptoms To verify</x:v>
      </x:c>
      <x:c r="K33" s="222"/>
      <x:c r="L33" s="222"/>
      <x:c r="M33" s="222"/>
      <x:c r="N33" s="222"/>
      <x:c r="O33" s="222"/>
      <x:c r="P33" s="222"/>
      <x:c r="Q33" s="222"/>
      <x:c r="R33" s="170"/>
      <x:c r="S33" s="170"/>
    </x:row>
    <x:row r="34">
      <x:c r="A34"/>
      <x:c r="B34"/>
      <x:c r="C34"/>
      <x:c r="D34"/>
      <x:c r="E34"/>
      <x:c r="F34"/>
      <x:c r="G34"/>
      <x:c r="H34"/>
      <x:c r="I34"/>
      <x:c r="J34"/>
      <x:c r="K34" s="59" t="n"/>
      <x:c r="L34" s="59" t="n"/>
      <x:c r="M34" s="59" t="n"/>
      <x:c r="N34" s="59" t="n"/>
      <x:c r="O34" s="59" t="n"/>
      <x:c r="P34" s="59" t="n"/>
      <x:c r="Q34" s="59" t="n"/>
    </x:row>
    <x:row r="35">
      <x:c r="A35"/>
      <x:c r="B35"/>
      <x:c r="C35"/>
      <x:c r="D35"/>
      <x:c r="E35"/>
      <x:c r="F35"/>
      <x:c r="G35"/>
      <x:c r="H35"/>
      <x:c r="I35"/>
      <x:c r="J35"/>
      <x:c r="K35" s="59" t="n"/>
      <x:c r="L35" s="59" t="n"/>
      <x:c r="M35" s="59" t="n"/>
      <x:c r="N35" s="59" t="n"/>
      <x:c r="O35" s="59" t="n"/>
      <x:c r="P35" s="59" t="n"/>
      <x:c r="Q35" s="59" t="n"/>
    </x:row>
    <x:row r="36">
      <x:c r="A36"/>
      <x:c r="B36"/>
      <x:c r="C36"/>
      <x:c r="D36"/>
      <x:c r="E36"/>
      <x:c r="F36"/>
      <x:c r="G36"/>
      <x:c r="H36"/>
      <x:c r="I36"/>
      <x:c r="J36"/>
      <x:c r="K36" s="59" t="n"/>
      <x:c r="L36" s="59" t="n"/>
      <x:c r="M36" s="59" t="n"/>
      <x:c r="N36" s="59" t="n"/>
      <x:c r="O36" s="59" t="n"/>
      <x:c r="P36" s="59" t="n"/>
      <x:c r="Q36" s="59" t="n"/>
    </x:row>
    <x:row r="37">
      <x:c r="A37"/>
      <x:c r="B37"/>
      <x:c r="C37"/>
      <x:c r="D37"/>
      <x:c r="E37"/>
      <x:c r="F37"/>
      <x:c r="G37"/>
      <x:c r="H37"/>
      <x:c r="I37"/>
      <x:c r="J37"/>
      <x:c r="K37" s="59" t="n"/>
      <x:c r="L37" s="59" t="n"/>
      <x:c r="M37" s="59" t="n"/>
      <x:c r="N37" s="59" t="n"/>
      <x:c r="O37" s="59" t="n"/>
      <x:c r="P37" s="59" t="n"/>
      <x:c r="Q37" s="59" t="n"/>
    </x:row>
    <x:row r="38">
      <x:c r="A38"/>
      <x:c r="B38"/>
      <x:c r="C38"/>
      <x:c r="D38"/>
      <x:c r="E38"/>
      <x:c r="F38"/>
      <x:c r="G38"/>
      <x:c r="H38"/>
      <x:c r="I38"/>
      <x:c r="J38"/>
      <x:c r="K38" s="59" t="n"/>
      <x:c r="L38" s="59" t="n"/>
      <x:c r="M38" s="59" t="n"/>
      <x:c r="N38" s="59" t="n"/>
      <x:c r="O38" s="59" t="n"/>
      <x:c r="P38" s="59" t="n"/>
      <x:c r="Q38" s="59" t="n"/>
    </x:row>
    <x:row r="39">
      <x:c r="A39"/>
      <x:c r="B39"/>
      <x:c r="C39"/>
      <x:c r="D39"/>
      <x:c r="E39"/>
      <x:c r="F39"/>
      <x:c r="G39"/>
      <x:c r="H39"/>
      <x:c r="I39"/>
      <x:c r="J39"/>
      <x:c r="K39" s="59" t="n"/>
      <x:c r="L39" s="59" t="n"/>
      <x:c r="M39" s="59" t="n"/>
      <x:c r="N39" s="59" t="n"/>
      <x:c r="O39" s="59" t="n"/>
      <x:c r="P39" s="59" t="n"/>
      <x:c r="Q39" s="59" t="n"/>
    </x:row>
    <x:row r="40">
      <x:c r="A40"/>
      <x:c r="B40"/>
      <x:c r="C40"/>
      <x:c r="D40"/>
      <x:c r="E40"/>
      <x:c r="F40"/>
      <x:c r="G40"/>
      <x:c r="H40"/>
      <x:c r="I40"/>
      <x:c r="J40"/>
      <x:c r="K40" s="59" t="n"/>
      <x:c r="L40" s="59" t="n"/>
      <x:c r="M40" s="59" t="n"/>
      <x:c r="N40" s="59" t="n"/>
      <x:c r="O40" s="59" t="n"/>
      <x:c r="P40" s="59" t="n"/>
      <x:c r="Q40" s="59" t="n"/>
    </x:row>
    <x:row r="41">
      <x:c r="A41"/>
      <x:c r="B41"/>
      <x:c r="C41"/>
      <x:c r="D41"/>
      <x:c r="E41"/>
      <x:c r="F41"/>
      <x:c r="G41"/>
      <x:c r="H41"/>
      <x:c r="I41"/>
      <x:c r="J41"/>
      <x:c r="K41" s="59" t="n"/>
      <x:c r="L41" s="59" t="n"/>
      <x:c r="M41" s="59" t="n"/>
      <x:c r="N41" s="59" t="n"/>
      <x:c r="O41" s="59" t="n"/>
      <x:c r="P41" s="59" t="n"/>
      <x:c r="Q41" s="59" t="n"/>
    </x:row>
    <x:row r="42">
      <x:c r="A42"/>
      <x:c r="B42"/>
      <x:c r="C42"/>
      <x:c r="D42"/>
      <x:c r="E42"/>
      <x:c r="F42"/>
      <x:c r="G42"/>
      <x:c r="H42"/>
      <x:c r="I42"/>
      <x:c r="J42"/>
      <x:c r="K42" s="59" t="n"/>
      <x:c r="L42" s="59" t="n"/>
      <x:c r="M42" s="59" t="n"/>
      <x:c r="N42" s="59" t="n"/>
      <x:c r="O42" s="59" t="n"/>
      <x:c r="P42" s="59" t="n"/>
      <x:c r="Q42" s="59" t="n"/>
    </x:row>
    <x:row r="43">
      <x:c r="A43"/>
      <x:c r="B43"/>
      <x:c r="C43"/>
      <x:c r="D43"/>
      <x:c r="E43"/>
      <x:c r="F43"/>
      <x:c r="G43"/>
      <x:c r="H43"/>
      <x:c r="I43"/>
      <x:c r="J43"/>
      <x:c r="K43" s="59" t="n"/>
      <x:c r="L43" s="59" t="n"/>
      <x:c r="M43" s="59" t="n"/>
      <x:c r="N43" s="59" t="n"/>
      <x:c r="O43" s="59" t="n"/>
      <x:c r="P43" s="59" t="n"/>
      <x:c r="Q43" s="59" t="n"/>
    </x:row>
    <x:row r="44">
      <x:c r="A44"/>
      <x:c r="B44"/>
      <x:c r="C44"/>
      <x:c r="D44"/>
      <x:c r="E44"/>
      <x:c r="F44"/>
      <x:c r="G44"/>
      <x:c r="H44"/>
      <x:c r="I44"/>
      <x:c r="J44"/>
      <x:c r="K44" s="59" t="n"/>
      <x:c r="L44" s="59" t="n"/>
      <x:c r="M44" s="59" t="n"/>
      <x:c r="N44" s="59" t="n"/>
      <x:c r="O44" s="59" t="n"/>
      <x:c r="P44" s="59" t="n"/>
      <x:c r="Q44" s="59" t="n"/>
    </x:row>
    <x:row r="45">
      <x:c r="A45"/>
      <x:c r="B45"/>
      <x:c r="C45"/>
      <x:c r="D45"/>
      <x:c r="E45"/>
      <x:c r="F45"/>
      <x:c r="G45"/>
      <x:c r="H45"/>
      <x:c r="I45"/>
      <x:c r="J45"/>
      <x:c r="K45" s="59" t="n"/>
      <x:c r="L45" s="59" t="n"/>
      <x:c r="M45" s="59" t="n"/>
      <x:c r="N45" s="59" t="n"/>
      <x:c r="O45" s="59" t="n"/>
      <x:c r="P45" s="59" t="n"/>
      <x:c r="Q45" s="59" t="n"/>
    </x:row>
    <x:row r="46">
      <x:c r="A46"/>
      <x:c r="B46"/>
      <x:c r="C46"/>
      <x:c r="D46"/>
      <x:c r="E46"/>
      <x:c r="F46"/>
      <x:c r="G46"/>
      <x:c r="H46"/>
      <x:c r="I46"/>
      <x:c r="J46"/>
      <x:c r="K46" s="59" t="n"/>
      <x:c r="L46" s="59" t="n"/>
      <x:c r="M46" s="59" t="n"/>
      <x:c r="N46" s="59" t="n"/>
      <x:c r="O46" s="59" t="n"/>
      <x:c r="P46" s="59" t="n"/>
      <x:c r="Q46" s="59" t="n"/>
    </x:row>
    <x:row r="47">
      <x:c r="A47"/>
      <x:c r="B47"/>
      <x:c r="C47"/>
      <x:c r="D47"/>
      <x:c r="E47"/>
      <x:c r="F47"/>
      <x:c r="G47"/>
      <x:c r="H47"/>
      <x:c r="I47"/>
      <x:c r="J47"/>
      <x:c r="K47" s="59" t="n"/>
      <x:c r="L47" s="59" t="n"/>
      <x:c r="M47" s="59" t="n"/>
      <x:c r="N47" s="59" t="n"/>
      <x:c r="O47" s="59" t="n"/>
      <x:c r="P47" s="59" t="n"/>
      <x:c r="Q47" s="59" t="n"/>
    </x:row>
    <x:row r="48">
      <x:c r="A48"/>
      <x:c r="B48"/>
      <x:c r="C48"/>
      <x:c r="D48"/>
      <x:c r="E48"/>
      <x:c r="F48"/>
      <x:c r="G48"/>
      <x:c r="H48"/>
      <x:c r="I48"/>
      <x:c r="J48"/>
      <x:c r="K48" s="59" t="n"/>
      <x:c r="L48" s="59" t="n"/>
      <x:c r="M48" s="59" t="n"/>
      <x:c r="N48" s="59" t="n"/>
      <x:c r="O48" s="59" t="n"/>
      <x:c r="P48" s="59" t="n"/>
      <x:c r="Q48" s="59" t="n"/>
    </x:row>
    <x:row r="49">
      <x:c r="A49"/>
      <x:c r="B49"/>
      <x:c r="C49"/>
      <x:c r="D49"/>
      <x:c r="E49"/>
      <x:c r="F49"/>
      <x:c r="G49"/>
      <x:c r="H49"/>
      <x:c r="I49"/>
      <x:c r="J49"/>
      <x:c r="K49" s="59" t="n"/>
      <x:c r="L49" s="59" t="n"/>
      <x:c r="M49" s="59" t="n"/>
      <x:c r="N49" s="59" t="n"/>
      <x:c r="O49" s="59" t="n"/>
      <x:c r="P49" s="59" t="n"/>
      <x:c r="Q49" s="59" t="n"/>
    </x:row>
    <x:row r="50">
      <x:c r="A50"/>
      <x:c r="B50"/>
      <x:c r="C50"/>
      <x:c r="D50"/>
      <x:c r="E50"/>
      <x:c r="F50"/>
      <x:c r="G50"/>
      <x:c r="H50"/>
      <x:c r="I50"/>
      <x:c r="J50"/>
      <x:c r="K50" s="59" t="n"/>
      <x:c r="L50" s="59" t="n"/>
      <x:c r="M50" s="59" t="n"/>
      <x:c r="N50" s="59" t="n"/>
      <x:c r="O50" s="59" t="n"/>
      <x:c r="P50" s="59" t="n"/>
      <x:c r="Q50" s="59" t="n"/>
    </x:row>
    <x:row r="51">
      <x:c r="A51"/>
      <x:c r="B51"/>
      <x:c r="C51"/>
      <x:c r="D51"/>
      <x:c r="E51"/>
      <x:c r="F51"/>
      <x:c r="G51"/>
      <x:c r="H51"/>
      <x:c r="I51"/>
      <x:c r="J51"/>
      <x:c r="K51" s="59" t="n"/>
      <x:c r="L51" s="59" t="n"/>
      <x:c r="M51" s="59" t="n"/>
      <x:c r="N51" s="59" t="n"/>
      <x:c r="O51" s="59" t="n"/>
      <x:c r="P51" s="59" t="n"/>
      <x:c r="Q51" s="59" t="n"/>
    </x:row>
    <x:row r="52">
      <x:c r="A52"/>
      <x:c r="B52"/>
      <x:c r="C52"/>
      <x:c r="D52"/>
      <x:c r="E52"/>
      <x:c r="F52"/>
      <x:c r="G52"/>
      <x:c r="H52"/>
      <x:c r="I52"/>
      <x:c r="J52"/>
      <x:c r="K52" s="59" t="n"/>
      <x:c r="L52" s="59" t="n"/>
      <x:c r="M52" s="59" t="n"/>
      <x:c r="N52" s="59" t="n"/>
      <x:c r="O52" s="59" t="n"/>
      <x:c r="P52" s="59" t="n"/>
      <x:c r="Q52" s="59" t="n"/>
    </x:row>
    <x:row r="53">
      <x:c r="A53"/>
      <x:c r="B53"/>
      <x:c r="C53"/>
      <x:c r="D53"/>
      <x:c r="E53"/>
      <x:c r="F53"/>
      <x:c r="G53"/>
      <x:c r="H53"/>
      <x:c r="I53"/>
      <x:c r="J53"/>
      <x:c r="K53" s="59" t="n"/>
      <x:c r="L53" s="59" t="n"/>
      <x:c r="M53" s="59" t="n"/>
      <x:c r="N53" s="59" t="n"/>
      <x:c r="O53" s="59" t="n"/>
      <x:c r="P53" s="59" t="n"/>
      <x:c r="Q53" s="59" t="n"/>
    </x:row>
    <x:row r="54">
      <x:c r="A54"/>
      <x:c r="B54"/>
      <x:c r="C54"/>
      <x:c r="D54"/>
      <x:c r="E54"/>
      <x:c r="F54"/>
      <x:c r="G54"/>
      <x:c r="H54"/>
      <x:c r="I54"/>
      <x:c r="J54"/>
      <x:c r="K54" s="59" t="n"/>
      <x:c r="L54" s="59" t="n"/>
      <x:c r="M54" s="59" t="n"/>
      <x:c r="N54" s="59" t="n"/>
      <x:c r="O54" s="59" t="n"/>
      <x:c r="P54" s="59" t="n"/>
      <x:c r="Q54" s="59" t="n"/>
    </x:row>
    <x:row r="55">
      <x:c r="A55"/>
      <x:c r="B55"/>
      <x:c r="C55"/>
      <x:c r="D55"/>
      <x:c r="E55"/>
      <x:c r="F55"/>
      <x:c r="G55"/>
      <x:c r="H55"/>
      <x:c r="I55"/>
      <x:c r="J55"/>
      <x:c r="K55" s="59" t="n"/>
      <x:c r="L55" s="59" t="n"/>
      <x:c r="M55" s="59" t="n"/>
      <x:c r="N55" s="59" t="n"/>
      <x:c r="O55" s="59" t="n"/>
      <x:c r="P55" s="59" t="n"/>
      <x:c r="Q55" s="59" t="n"/>
    </x:row>
    <x:row r="56">
      <x:c r="A56"/>
      <x:c r="B56"/>
      <x:c r="C56"/>
      <x:c r="D56"/>
      <x:c r="E56"/>
      <x:c r="F56"/>
      <x:c r="G56"/>
      <x:c r="H56"/>
      <x:c r="I56"/>
      <x:c r="J56"/>
      <x:c r="K56" s="59" t="n"/>
      <x:c r="L56" s="59" t="n"/>
      <x:c r="M56" s="59" t="n"/>
      <x:c r="N56" s="59" t="n"/>
      <x:c r="O56" s="59" t="n"/>
      <x:c r="P56" s="59" t="n"/>
      <x:c r="Q56" s="59" t="n"/>
    </x:row>
    <x:row r="57">
      <x:c r="A57"/>
      <x:c r="B57"/>
      <x:c r="C57"/>
      <x:c r="D57"/>
      <x:c r="E57"/>
      <x:c r="F57"/>
      <x:c r="G57"/>
      <x:c r="H57"/>
      <x:c r="I57"/>
      <x:c r="J57"/>
      <x:c r="K57" s="59" t="n"/>
      <x:c r="L57" s="59" t="n"/>
      <x:c r="M57" s="59" t="n"/>
      <x:c r="N57" s="59" t="n"/>
      <x:c r="O57" s="59" t="n"/>
      <x:c r="P57" s="59" t="n"/>
      <x:c r="Q57" s="59" t="n"/>
    </x:row>
    <x:row r="58">
      <x:c r="A58"/>
      <x:c r="B58"/>
      <x:c r="C58"/>
      <x:c r="D58"/>
      <x:c r="E58"/>
      <x:c r="F58"/>
      <x:c r="G58"/>
      <x:c r="H58"/>
      <x:c r="I58"/>
      <x:c r="J58"/>
      <x:c r="K58" s="59" t="n"/>
      <x:c r="L58" s="59" t="n"/>
      <x:c r="M58" s="59" t="n"/>
      <x:c r="N58" s="59" t="n"/>
      <x:c r="O58" s="59" t="n"/>
      <x:c r="P58" s="59" t="n"/>
      <x:c r="Q58" s="59" t="n"/>
    </x:row>
    <x:row r="59">
      <x:c r="A59"/>
      <x:c r="B59"/>
      <x:c r="C59"/>
      <x:c r="D59"/>
      <x:c r="E59"/>
      <x:c r="F59"/>
      <x:c r="G59"/>
      <x:c r="H59"/>
      <x:c r="I59"/>
      <x:c r="J59"/>
      <x:c r="K59" s="59" t="n"/>
      <x:c r="L59" s="59" t="n"/>
      <x:c r="M59" s="59" t="n"/>
      <x:c r="N59" s="59" t="n"/>
      <x:c r="O59" s="59" t="n"/>
      <x:c r="P59" s="59" t="n"/>
      <x:c r="Q59" s="59" t="n"/>
    </x:row>
    <x:row r="60">
      <x:c r="A60"/>
      <x:c r="B60"/>
      <x:c r="C60"/>
      <x:c r="D60"/>
      <x:c r="E60"/>
      <x:c r="F60"/>
      <x:c r="G60"/>
      <x:c r="H60"/>
      <x:c r="I60"/>
      <x:c r="J60"/>
      <x:c r="K60" s="59" t="n"/>
      <x:c r="L60" s="59" t="n"/>
      <x:c r="M60" s="59" t="n"/>
      <x:c r="N60" s="59" t="n"/>
      <x:c r="O60" s="59" t="n"/>
      <x:c r="P60" s="59" t="n"/>
      <x:c r="Q60" s="59" t="n"/>
    </x:row>
    <x:row r="61">
      <x:c r="A61"/>
      <x:c r="B61"/>
      <x:c r="C61"/>
      <x:c r="D61"/>
      <x:c r="E61"/>
      <x:c r="F61"/>
      <x:c r="G61"/>
      <x:c r="H61"/>
      <x:c r="I61"/>
      <x:c r="J61"/>
      <x:c r="K61" s="59" t="n"/>
      <x:c r="L61" s="59" t="n"/>
      <x:c r="M61" s="59" t="n"/>
      <x:c r="N61" s="59" t="n"/>
      <x:c r="O61" s="59" t="n"/>
      <x:c r="P61" s="59" t="n"/>
      <x:c r="Q61" s="59" t="n"/>
    </x:row>
    <x:row r="62">
      <x:c r="A62"/>
      <x:c r="B62"/>
      <x:c r="C62"/>
      <x:c r="D62"/>
      <x:c r="E62"/>
      <x:c r="F62"/>
      <x:c r="G62"/>
      <x:c r="H62"/>
      <x:c r="I62"/>
      <x:c r="J62"/>
      <x:c r="K62" s="59" t="n"/>
      <x:c r="L62" s="59" t="n"/>
      <x:c r="M62" s="59" t="n"/>
      <x:c r="N62" s="59" t="n"/>
      <x:c r="O62" s="59" t="n"/>
      <x:c r="P62" s="59" t="n"/>
      <x:c r="Q62" s="59" t="n"/>
    </x:row>
    <x:row r="63">
      <x:c r="A63"/>
      <x:c r="B63"/>
      <x:c r="C63"/>
      <x:c r="D63"/>
      <x:c r="E63"/>
      <x:c r="F63"/>
      <x:c r="G63"/>
      <x:c r="H63"/>
      <x:c r="I63"/>
      <x:c r="J63"/>
      <x:c r="K63" s="59" t="n"/>
      <x:c r="L63" s="59" t="n"/>
      <x:c r="M63" s="59" t="n"/>
      <x:c r="N63" s="59" t="n"/>
      <x:c r="O63" s="59" t="n"/>
      <x:c r="P63" s="59" t="n"/>
      <x:c r="Q63" s="59" t="n"/>
    </x:row>
    <x:row r="64">
      <x:c r="A64"/>
      <x:c r="B64"/>
      <x:c r="C64"/>
      <x:c r="D64"/>
      <x:c r="E64"/>
      <x:c r="F64"/>
      <x:c r="G64"/>
      <x:c r="H64"/>
      <x:c r="I64"/>
      <x:c r="J64"/>
      <x:c r="K64" s="59" t="n"/>
      <x:c r="L64" s="59" t="n"/>
      <x:c r="M64" s="59" t="n"/>
      <x:c r="N64" s="59" t="n"/>
      <x:c r="O64" s="59" t="n"/>
      <x:c r="P64" s="59" t="n"/>
      <x:c r="Q64" s="59" t="n"/>
    </x:row>
    <x:row r="65">
      <x:c r="A65"/>
      <x:c r="B65"/>
      <x:c r="C65"/>
      <x:c r="D65"/>
      <x:c r="E65"/>
      <x:c r="F65"/>
      <x:c r="G65"/>
      <x:c r="H65"/>
      <x:c r="I65"/>
      <x:c r="J65"/>
      <x:c r="K65" s="59" t="n"/>
      <x:c r="L65" s="59" t="n"/>
      <x:c r="M65" s="59" t="n"/>
      <x:c r="N65" s="59" t="n"/>
      <x:c r="O65" s="59" t="n"/>
      <x:c r="P65" s="59" t="n"/>
      <x:c r="Q65" s="59" t="n"/>
    </x:row>
    <x:row r="66">
      <x:c r="A66"/>
      <x:c r="B66"/>
      <x:c r="C66"/>
      <x:c r="D66"/>
      <x:c r="E66"/>
      <x:c r="F66"/>
      <x:c r="G66"/>
      <x:c r="H66"/>
      <x:c r="I66"/>
      <x:c r="J66"/>
      <x:c r="K66" s="59" t="n"/>
      <x:c r="L66" s="59" t="n"/>
      <x:c r="M66" s="59" t="n"/>
      <x:c r="N66" s="59" t="n"/>
      <x:c r="O66" s="59" t="n"/>
      <x:c r="P66" s="59" t="n"/>
      <x:c r="Q66" s="59" t="n"/>
    </x:row>
    <x:row r="67">
      <x:c r="A67"/>
      <x:c r="B67"/>
      <x:c r="C67"/>
      <x:c r="D67"/>
      <x:c r="E67"/>
      <x:c r="F67"/>
      <x:c r="G67"/>
      <x:c r="H67"/>
      <x:c r="I67"/>
      <x:c r="J67"/>
      <x:c r="K67" s="59" t="n"/>
      <x:c r="L67" s="59" t="n"/>
      <x:c r="M67" s="59" t="n"/>
      <x:c r="N67" s="59" t="n"/>
      <x:c r="O67" s="59" t="n"/>
      <x:c r="P67" s="59" t="n"/>
      <x:c r="Q67" s="59" t="n"/>
    </x:row>
    <x:row r="68">
      <x:c r="A68"/>
      <x:c r="B68"/>
      <x:c r="C68"/>
      <x:c r="D68"/>
      <x:c r="E68"/>
      <x:c r="F68"/>
      <x:c r="G68"/>
      <x:c r="H68"/>
      <x:c r="I68"/>
      <x:c r="J68"/>
      <x:c r="K68" s="59" t="n"/>
      <x:c r="L68" s="59" t="n"/>
      <x:c r="M68" s="59" t="n"/>
      <x:c r="N68" s="59" t="n"/>
      <x:c r="O68" s="59" t="n"/>
      <x:c r="P68" s="59" t="n"/>
      <x:c r="Q68" s="59" t="n"/>
    </x:row>
    <x:row r="69">
      <x:c r="A69"/>
      <x:c r="B69"/>
      <x:c r="C69"/>
      <x:c r="D69"/>
      <x:c r="E69"/>
      <x:c r="F69"/>
      <x:c r="G69"/>
      <x:c r="H69"/>
      <x:c r="I69"/>
      <x:c r="J69"/>
      <x:c r="K69" s="59" t="n"/>
      <x:c r="L69" s="59" t="n"/>
      <x:c r="M69" s="59" t="n"/>
      <x:c r="N69" s="59" t="n"/>
      <x:c r="O69" s="59" t="n"/>
      <x:c r="P69" s="59" t="n"/>
      <x:c r="Q69" s="59" t="n"/>
    </x:row>
    <x:row r="70">
      <x:c r="A70"/>
      <x:c r="B70"/>
      <x:c r="C70"/>
      <x:c r="D70"/>
      <x:c r="E70"/>
      <x:c r="F70"/>
      <x:c r="G70"/>
      <x:c r="H70"/>
      <x:c r="I70"/>
      <x:c r="J70"/>
      <x:c r="K70" s="59" t="n"/>
      <x:c r="L70" s="59" t="n"/>
      <x:c r="M70" s="59" t="n"/>
      <x:c r="N70" s="59" t="n"/>
      <x:c r="O70" s="59" t="n"/>
      <x:c r="P70" s="59" t="n"/>
      <x:c r="Q70" s="59" t="n"/>
    </x:row>
    <x:row r="71">
      <x:c r="A71"/>
      <x:c r="B71"/>
      <x:c r="C71"/>
      <x:c r="D71"/>
      <x:c r="E71"/>
      <x:c r="F71"/>
      <x:c r="G71"/>
      <x:c r="H71"/>
      <x:c r="I71"/>
      <x:c r="J71"/>
      <x:c r="K71" s="59" t="n"/>
      <x:c r="L71" s="59" t="n"/>
      <x:c r="M71" s="59" t="n"/>
      <x:c r="N71" s="59" t="n"/>
      <x:c r="O71" s="59" t="n"/>
      <x:c r="P71" s="59" t="n"/>
      <x:c r="Q71" s="59" t="n"/>
    </x:row>
    <x:row r="72">
      <x:c r="A72"/>
      <x:c r="B72"/>
      <x:c r="C72"/>
      <x:c r="D72"/>
      <x:c r="E72"/>
      <x:c r="F72"/>
      <x:c r="G72"/>
      <x:c r="H72"/>
      <x:c r="I72"/>
      <x:c r="J72"/>
      <x:c r="K72" s="59" t="n"/>
      <x:c r="L72" s="59" t="n"/>
      <x:c r="M72" s="59" t="n"/>
      <x:c r="N72" s="59" t="n"/>
      <x:c r="O72" s="59" t="n"/>
      <x:c r="P72" s="59" t="n"/>
      <x:c r="Q72" s="59" t="n"/>
    </x:row>
    <x:row r="73">
      <x:c r="A73"/>
      <x:c r="B73"/>
      <x:c r="C73"/>
      <x:c r="D73"/>
      <x:c r="E73"/>
      <x:c r="F73"/>
      <x:c r="G73"/>
      <x:c r="H73"/>
      <x:c r="I73"/>
      <x:c r="J73"/>
      <x:c r="K73" s="59" t="n"/>
      <x:c r="L73" s="59" t="n"/>
      <x:c r="M73" s="59" t="n"/>
      <x:c r="N73" s="59" t="n"/>
      <x:c r="O73" s="59" t="n"/>
      <x:c r="P73" s="59" t="n"/>
      <x:c r="Q73" s="59" t="n"/>
    </x:row>
    <x:row r="74">
      <x:c r="A74"/>
      <x:c r="B74"/>
      <x:c r="C74"/>
      <x:c r="D74"/>
      <x:c r="E74"/>
      <x:c r="F74"/>
      <x:c r="G74"/>
      <x:c r="H74"/>
      <x:c r="I74"/>
      <x:c r="J74"/>
      <x:c r="K74" s="59" t="n"/>
      <x:c r="L74" s="59" t="n"/>
      <x:c r="M74" s="59" t="n"/>
      <x:c r="N74" s="59" t="n"/>
      <x:c r="O74" s="59" t="n"/>
      <x:c r="P74" s="59" t="n"/>
      <x:c r="Q74" s="59" t="n"/>
    </x:row>
    <x:row r="75">
      <x:c r="A75"/>
      <x:c r="B75"/>
      <x:c r="C75"/>
      <x:c r="D75"/>
      <x:c r="E75"/>
      <x:c r="F75"/>
      <x:c r="G75"/>
      <x:c r="H75"/>
      <x:c r="I75"/>
      <x:c r="J75"/>
      <x:c r="K75" s="59" t="n"/>
      <x:c r="L75" s="59" t="n"/>
      <x:c r="M75" s="59" t="n"/>
      <x:c r="N75" s="59" t="n"/>
      <x:c r="O75" s="59" t="n"/>
      <x:c r="P75" s="59" t="n"/>
      <x:c r="Q75" s="59" t="n"/>
    </x:row>
    <x:row r="76">
      <x:c r="A76"/>
      <x:c r="B76"/>
      <x:c r="C76"/>
      <x:c r="D76"/>
      <x:c r="E76"/>
      <x:c r="F76"/>
      <x:c r="G76"/>
      <x:c r="H76"/>
      <x:c r="I76"/>
      <x:c r="J76"/>
      <x:c r="K76" s="59" t="n"/>
      <x:c r="L76" s="59" t="n"/>
      <x:c r="M76" s="59" t="n"/>
      <x:c r="N76" s="59" t="n"/>
      <x:c r="O76" s="59" t="n"/>
      <x:c r="P76" s="59" t="n"/>
      <x:c r="Q76" s="59" t="n"/>
    </x:row>
    <x:row r="77">
      <x:c r="A77"/>
      <x:c r="B77"/>
      <x:c r="C77"/>
      <x:c r="D77"/>
      <x:c r="E77"/>
      <x:c r="F77"/>
      <x:c r="G77"/>
      <x:c r="H77"/>
      <x:c r="I77"/>
      <x:c r="J77"/>
      <x:c r="K77" s="59" t="n"/>
      <x:c r="L77" s="59" t="n"/>
      <x:c r="M77" s="59" t="n"/>
      <x:c r="N77" s="59" t="n"/>
      <x:c r="O77" s="59" t="n"/>
      <x:c r="P77" s="59" t="n"/>
      <x:c r="Q77" s="59" t="n"/>
    </x:row>
    <x:row r="78">
      <x:c r="A78"/>
      <x:c r="B78"/>
      <x:c r="C78"/>
      <x:c r="D78"/>
      <x:c r="E78"/>
      <x:c r="F78"/>
      <x:c r="G78"/>
      <x:c r="H78"/>
      <x:c r="I78"/>
      <x:c r="J78"/>
      <x:c r="K78" s="59" t="n"/>
      <x:c r="L78" s="59" t="n"/>
      <x:c r="M78" s="59" t="n"/>
      <x:c r="N78" s="59" t="n"/>
      <x:c r="O78" s="59" t="n"/>
      <x:c r="P78" s="59" t="n"/>
      <x:c r="Q78" s="59" t="n"/>
    </x:row>
    <x:row r="79">
      <x:c r="A79"/>
      <x:c r="B79"/>
      <x:c r="C79"/>
      <x:c r="D79"/>
      <x:c r="E79"/>
      <x:c r="F79"/>
      <x:c r="G79"/>
      <x:c r="H79"/>
      <x:c r="I79"/>
      <x:c r="J79"/>
      <x:c r="K79" s="59" t="n"/>
      <x:c r="L79" s="59" t="n"/>
      <x:c r="M79" s="59" t="n"/>
      <x:c r="N79" s="59" t="n"/>
      <x:c r="O79" s="59" t="n"/>
      <x:c r="P79" s="59" t="n"/>
      <x:c r="Q79" s="59" t="n"/>
    </x:row>
    <x:row r="80">
      <x:c r="A80"/>
      <x:c r="B80"/>
      <x:c r="C80"/>
      <x:c r="D80"/>
      <x:c r="E80"/>
      <x:c r="F80"/>
      <x:c r="G80"/>
      <x:c r="H80"/>
      <x:c r="I80"/>
      <x:c r="J80"/>
      <x:c r="K80" s="59" t="n"/>
      <x:c r="L80" s="59" t="n"/>
      <x:c r="M80" s="59" t="n"/>
      <x:c r="N80" s="59" t="n"/>
      <x:c r="O80" s="59" t="n"/>
      <x:c r="P80" s="59" t="n"/>
      <x:c r="Q80" s="59" t="n"/>
    </x:row>
    <x:row r="81">
      <x:c r="A81"/>
      <x:c r="B81"/>
      <x:c r="C81"/>
      <x:c r="D81"/>
      <x:c r="E81"/>
      <x:c r="F81"/>
      <x:c r="G81"/>
      <x:c r="H81"/>
      <x:c r="I81"/>
      <x:c r="J81"/>
      <x:c r="K81" s="59" t="n"/>
      <x:c r="L81" s="59" t="n"/>
      <x:c r="M81" s="59" t="n"/>
      <x:c r="N81" s="59" t="n"/>
      <x:c r="O81" s="59" t="n"/>
      <x:c r="P81" s="59" t="n"/>
      <x:c r="Q81" s="59" t="n"/>
    </x:row>
    <x:row r="82">
      <x:c r="A82"/>
      <x:c r="B82"/>
      <x:c r="C82"/>
      <x:c r="D82"/>
      <x:c r="E82"/>
      <x:c r="F82"/>
      <x:c r="G82"/>
      <x:c r="H82"/>
      <x:c r="I82"/>
      <x:c r="J82"/>
      <x:c r="K82" s="59" t="n"/>
      <x:c r="L82" s="59" t="n"/>
      <x:c r="M82" s="59" t="n"/>
      <x:c r="N82" s="59" t="n"/>
      <x:c r="O82" s="59" t="n"/>
      <x:c r="P82" s="59" t="n"/>
      <x:c r="Q82" s="59" t="n"/>
    </x:row>
    <x:row r="83">
      <x:c r="A83"/>
      <x:c r="B83"/>
      <x:c r="C83"/>
      <x:c r="D83"/>
      <x:c r="E83"/>
      <x:c r="F83"/>
      <x:c r="G83"/>
      <x:c r="H83"/>
      <x:c r="I83"/>
      <x:c r="J83"/>
      <x:c r="K83" s="59" t="n"/>
      <x:c r="L83" s="59" t="n"/>
      <x:c r="M83" s="59" t="n"/>
      <x:c r="N83" s="59" t="n"/>
      <x:c r="O83" s="59" t="n"/>
      <x:c r="P83" s="59" t="n"/>
      <x:c r="Q83" s="59" t="n"/>
    </x:row>
    <x:row r="84">
      <x:c r="A84"/>
      <x:c r="B84"/>
      <x:c r="C84"/>
      <x:c r="D84"/>
      <x:c r="E84"/>
      <x:c r="F84"/>
      <x:c r="G84"/>
      <x:c r="H84"/>
      <x:c r="I84"/>
      <x:c r="J84"/>
      <x:c r="K84" s="59" t="n"/>
      <x:c r="L84" s="59" t="n"/>
      <x:c r="M84" s="59" t="n"/>
      <x:c r="N84" s="59" t="n"/>
      <x:c r="O84" s="59" t="n"/>
      <x:c r="P84" s="59" t="n"/>
      <x:c r="Q84" s="59" t="n"/>
    </x:row>
    <x:row r="85">
      <x:c r="A85"/>
      <x:c r="B85"/>
      <x:c r="C85"/>
      <x:c r="D85"/>
      <x:c r="E85"/>
      <x:c r="F85"/>
      <x:c r="G85"/>
      <x:c r="H85"/>
      <x:c r="I85"/>
      <x:c r="J85"/>
      <x:c r="K85" s="59" t="n"/>
      <x:c r="L85" s="59" t="n"/>
      <x:c r="M85" s="59" t="n"/>
      <x:c r="N85" s="59" t="n"/>
      <x:c r="O85" s="59" t="n"/>
      <x:c r="P85" s="59" t="n"/>
      <x:c r="Q85" s="59" t="n"/>
    </x:row>
    <x:row r="86">
      <x:c r="A86"/>
      <x:c r="B86"/>
      <x:c r="C86"/>
      <x:c r="D86"/>
      <x:c r="E86"/>
      <x:c r="F86"/>
      <x:c r="G86"/>
      <x:c r="H86"/>
      <x:c r="I86"/>
      <x:c r="J86"/>
      <x:c r="K86" s="59" t="n"/>
      <x:c r="L86" s="59" t="n"/>
      <x:c r="M86" s="59" t="n"/>
      <x:c r="N86" s="59" t="n"/>
      <x:c r="O86" s="59" t="n"/>
      <x:c r="P86" s="59" t="n"/>
      <x:c r="Q86" s="59" t="n"/>
    </x:row>
    <x:row r="87">
      <x:c r="A87"/>
      <x:c r="B87"/>
      <x:c r="C87"/>
      <x:c r="D87"/>
      <x:c r="E87"/>
      <x:c r="F87"/>
      <x:c r="G87"/>
      <x:c r="H87"/>
      <x:c r="I87"/>
      <x:c r="J87"/>
      <x:c r="K87" s="59" t="n"/>
      <x:c r="L87" s="59" t="n"/>
      <x:c r="M87" s="59" t="n"/>
      <x:c r="N87" s="59" t="n"/>
      <x:c r="O87" s="59" t="n"/>
      <x:c r="P87" s="59" t="n"/>
      <x:c r="Q87" s="59" t="n"/>
    </x:row>
    <x:row r="88">
      <x:c r="A88"/>
      <x:c r="B88"/>
      <x:c r="C88"/>
      <x:c r="D88"/>
      <x:c r="E88"/>
      <x:c r="F88"/>
      <x:c r="G88"/>
      <x:c r="H88"/>
      <x:c r="I88"/>
      <x:c r="J88"/>
      <x:c r="K88" s="59" t="n"/>
      <x:c r="L88" s="59" t="n"/>
      <x:c r="M88" s="59" t="n"/>
      <x:c r="N88" s="59" t="n"/>
      <x:c r="O88" s="59" t="n"/>
      <x:c r="P88" s="59" t="n"/>
      <x:c r="Q88" s="59" t="n"/>
    </x:row>
    <x:row r="89">
      <x:c r="A89"/>
      <x:c r="B89"/>
      <x:c r="C89"/>
      <x:c r="D89"/>
      <x:c r="E89"/>
      <x:c r="F89"/>
      <x:c r="G89"/>
      <x:c r="H89"/>
      <x:c r="I89"/>
      <x:c r="J89"/>
      <x:c r="K89" s="59" t="n"/>
      <x:c r="L89" s="59" t="n"/>
      <x:c r="M89" s="59" t="n"/>
      <x:c r="N89" s="59" t="n"/>
      <x:c r="O89" s="59" t="n"/>
      <x:c r="P89" s="59" t="n"/>
      <x:c r="Q89" s="59" t="n"/>
    </x:row>
    <x:row r="90">
      <x:c r="A90"/>
      <x:c r="B90"/>
      <x:c r="C90"/>
      <x:c r="D90"/>
      <x:c r="E90"/>
      <x:c r="F90"/>
      <x:c r="G90"/>
      <x:c r="H90"/>
      <x:c r="I90"/>
      <x:c r="J90"/>
      <x:c r="K90" s="59" t="n"/>
      <x:c r="L90" s="59" t="n"/>
      <x:c r="M90" s="59" t="n"/>
      <x:c r="N90" s="59" t="n"/>
      <x:c r="O90" s="59" t="n"/>
      <x:c r="P90" s="59" t="n"/>
      <x:c r="Q90" s="59" t="n"/>
    </x:row>
    <x:row r="91">
      <x:c r="A91"/>
      <x:c r="B91"/>
      <x:c r="C91"/>
      <x:c r="D91"/>
      <x:c r="E91"/>
      <x:c r="F91"/>
      <x:c r="G91"/>
      <x:c r="H91"/>
      <x:c r="I91"/>
      <x:c r="J91"/>
      <x:c r="K91" s="59" t="n"/>
      <x:c r="L91" s="59" t="n"/>
      <x:c r="M91" s="59" t="n"/>
      <x:c r="N91" s="59" t="n"/>
      <x:c r="O91" s="59" t="n"/>
      <x:c r="P91" s="59" t="n"/>
      <x:c r="Q91" s="59" t="n"/>
    </x:row>
    <x:row r="92">
      <x:c r="A92"/>
      <x:c r="B92"/>
      <x:c r="C92"/>
      <x:c r="D92"/>
      <x:c r="E92"/>
      <x:c r="F92"/>
      <x:c r="G92"/>
      <x:c r="H92"/>
      <x:c r="I92"/>
      <x:c r="J92"/>
      <x:c r="K92" s="59" t="n"/>
      <x:c r="L92" s="59" t="n"/>
      <x:c r="M92" s="59" t="n"/>
      <x:c r="N92" s="59" t="n"/>
      <x:c r="O92" s="59" t="n"/>
      <x:c r="P92" s="59" t="n"/>
      <x:c r="Q92" s="59" t="n"/>
    </x:row>
    <x:row r="93">
      <x:c r="A93"/>
      <x:c r="B93"/>
      <x:c r="C93"/>
      <x:c r="D93"/>
      <x:c r="E93"/>
      <x:c r="F93"/>
      <x:c r="G93"/>
      <x:c r="H93"/>
      <x:c r="I93"/>
      <x:c r="J93"/>
      <x:c r="K93" s="59" t="n"/>
      <x:c r="L93" s="59" t="n"/>
      <x:c r="M93" s="59" t="n"/>
      <x:c r="N93" s="59" t="n"/>
      <x:c r="O93" s="59" t="n"/>
      <x:c r="P93" s="59" t="n"/>
      <x:c r="Q93" s="59" t="n"/>
    </x:row>
    <x:row r="94">
      <x:c r="A94"/>
      <x:c r="B94"/>
      <x:c r="C94"/>
      <x:c r="D94"/>
      <x:c r="E94"/>
      <x:c r="F94"/>
      <x:c r="G94"/>
      <x:c r="H94"/>
      <x:c r="I94"/>
      <x:c r="J94"/>
      <x:c r="K94" s="59" t="n"/>
      <x:c r="L94" s="59" t="n"/>
      <x:c r="M94" s="59" t="n"/>
      <x:c r="N94" s="59" t="n"/>
      <x:c r="O94" s="59" t="n"/>
      <x:c r="P94" s="59" t="n"/>
      <x:c r="Q94" s="59" t="n"/>
    </x:row>
    <x:row r="95">
      <x:c r="A95"/>
      <x:c r="B95"/>
      <x:c r="C95"/>
      <x:c r="D95"/>
      <x:c r="E95"/>
      <x:c r="F95"/>
      <x:c r="G95"/>
      <x:c r="H95"/>
      <x:c r="I95"/>
      <x:c r="J95"/>
      <x:c r="K95" s="59" t="n"/>
      <x:c r="L95" s="59" t="n"/>
      <x:c r="M95" s="59" t="n"/>
      <x:c r="N95" s="59" t="n"/>
      <x:c r="O95" s="59" t="n"/>
      <x:c r="P95" s="59" t="n"/>
      <x:c r="Q95" s="59" t="n"/>
    </x:row>
    <x:row r="96">
      <x:c r="A96"/>
      <x:c r="B96"/>
      <x:c r="C96"/>
      <x:c r="D96"/>
      <x:c r="E96"/>
      <x:c r="F96"/>
      <x:c r="G96"/>
      <x:c r="H96"/>
      <x:c r="I96"/>
      <x:c r="J96"/>
      <x:c r="K96" s="59" t="n"/>
      <x:c r="L96" s="59" t="n"/>
      <x:c r="M96" s="59" t="n"/>
      <x:c r="N96" s="59" t="n"/>
      <x:c r="O96" s="59" t="n"/>
      <x:c r="P96" s="59" t="n"/>
      <x:c r="Q96" s="59" t="n"/>
    </x:row>
    <x:row r="97">
      <x:c r="A97"/>
      <x:c r="B97"/>
      <x:c r="C97"/>
      <x:c r="D97"/>
      <x:c r="E97"/>
      <x:c r="F97"/>
      <x:c r="G97"/>
      <x:c r="H97"/>
      <x:c r="I97"/>
      <x:c r="J97"/>
      <x:c r="K97" s="59" t="n"/>
      <x:c r="L97" s="59" t="n"/>
      <x:c r="M97" s="59" t="n"/>
      <x:c r="N97" s="59" t="n"/>
      <x:c r="O97" s="59" t="n"/>
      <x:c r="P97" s="59" t="n"/>
      <x:c r="Q97" s="59" t="n"/>
    </x:row>
    <x:row r="98">
      <x:c r="A98"/>
      <x:c r="B98"/>
      <x:c r="C98"/>
      <x:c r="D98"/>
      <x:c r="E98"/>
      <x:c r="F98"/>
      <x:c r="G98"/>
      <x:c r="H98"/>
      <x:c r="I98"/>
      <x:c r="J98"/>
      <x:c r="K98" s="59" t="n"/>
      <x:c r="L98" s="59" t="n"/>
      <x:c r="M98" s="59" t="n"/>
      <x:c r="N98" s="59" t="n"/>
      <x:c r="O98" s="59" t="n"/>
      <x:c r="P98" s="59" t="n"/>
      <x:c r="Q98" s="59" t="n"/>
    </x:row>
    <x:row r="99">
      <x:c r="A99"/>
      <x:c r="B99"/>
      <x:c r="C99"/>
      <x:c r="D99"/>
      <x:c r="E99"/>
      <x:c r="F99"/>
      <x:c r="G99"/>
      <x:c r="H99"/>
      <x:c r="I99"/>
      <x:c r="J99"/>
      <x:c r="K99" s="59" t="n"/>
      <x:c r="L99" s="59" t="n"/>
      <x:c r="M99" s="59" t="n"/>
      <x:c r="N99" s="59" t="n"/>
      <x:c r="O99" s="59" t="n"/>
      <x:c r="P99" s="59" t="n"/>
      <x:c r="Q99" s="59" t="n"/>
    </x:row>
    <x:row r="100">
      <x:c r="A100"/>
      <x:c r="B100"/>
      <x:c r="C100"/>
      <x:c r="D100"/>
      <x:c r="E100"/>
      <x:c r="F100"/>
      <x:c r="G100"/>
      <x:c r="H100"/>
      <x:c r="I100"/>
      <x:c r="J100"/>
      <x:c r="K100" s="59" t="n"/>
      <x:c r="L100" s="59" t="n"/>
      <x:c r="M100" s="59" t="n"/>
      <x:c r="N100" s="59" t="n"/>
      <x:c r="O100" s="59" t="n"/>
      <x:c r="P100" s="59" t="n"/>
      <x:c r="Q100" s="59" t="n"/>
    </x:row>
    <x:row r="101">
      <x:c r="A101"/>
      <x:c r="B101"/>
      <x:c r="C101"/>
      <x:c r="D101"/>
      <x:c r="E101"/>
      <x:c r="F101"/>
      <x:c r="G101"/>
      <x:c r="H101"/>
      <x:c r="I101"/>
      <x:c r="J101"/>
      <x:c r="K101" s="59" t="n"/>
      <x:c r="L101" s="59" t="n"/>
      <x:c r="M101" s="59" t="n"/>
      <x:c r="N101" s="59" t="n"/>
      <x:c r="O101" s="59" t="n"/>
      <x:c r="P101" s="59" t="n"/>
      <x:c r="Q101" s="59" t="n"/>
    </x:row>
    <x:row r="102">
      <x:c r="A102"/>
      <x:c r="B102"/>
      <x:c r="C102"/>
      <x:c r="D102"/>
      <x:c r="E102"/>
      <x:c r="F102"/>
      <x:c r="G102"/>
      <x:c r="H102"/>
      <x:c r="I102"/>
      <x:c r="J102"/>
      <x:c r="K102" s="59" t="n"/>
      <x:c r="L102" s="59" t="n"/>
      <x:c r="M102" s="59" t="n"/>
      <x:c r="N102" s="59" t="n"/>
      <x:c r="O102" s="59" t="n"/>
      <x:c r="P102" s="59" t="n"/>
      <x:c r="Q102" s="59" t="n"/>
    </x:row>
    <x:row r="103">
      <x:c r="A103"/>
      <x:c r="B103"/>
      <x:c r="C103"/>
      <x:c r="D103"/>
      <x:c r="E103"/>
      <x:c r="F103"/>
      <x:c r="G103"/>
      <x:c r="H103"/>
      <x:c r="I103"/>
      <x:c r="J103"/>
      <x:c r="K103" s="59" t="n"/>
      <x:c r="L103" s="59" t="n"/>
      <x:c r="M103" s="59" t="n"/>
      <x:c r="N103" s="59" t="n"/>
      <x:c r="O103" s="59" t="n"/>
      <x:c r="P103" s="59" t="n"/>
      <x:c r="Q103" s="59" t="n"/>
    </x:row>
    <x:row r="104">
      <x:c r="A104"/>
      <x:c r="B104"/>
      <x:c r="C104"/>
      <x:c r="D104"/>
      <x:c r="E104"/>
      <x:c r="F104"/>
      <x:c r="G104"/>
      <x:c r="H104"/>
      <x:c r="I104"/>
      <x:c r="J104"/>
      <x:c r="K104" s="59" t="n"/>
      <x:c r="L104" s="59" t="n"/>
      <x:c r="M104" s="59" t="n"/>
      <x:c r="N104" s="59" t="n"/>
      <x:c r="O104" s="59" t="n"/>
      <x:c r="P104" s="59" t="n"/>
      <x:c r="Q104" s="59" t="n"/>
    </x:row>
    <x:row r="105">
      <x:c r="A105"/>
      <x:c r="B105"/>
      <x:c r="C105"/>
      <x:c r="D105"/>
      <x:c r="E105"/>
      <x:c r="F105"/>
      <x:c r="G105"/>
      <x:c r="H105"/>
      <x:c r="I105"/>
      <x:c r="J105"/>
      <x:c r="K105" s="59" t="n"/>
      <x:c r="L105" s="59" t="n"/>
      <x:c r="M105" s="59" t="n"/>
      <x:c r="N105" s="59" t="n"/>
      <x:c r="O105" s="59" t="n"/>
      <x:c r="P105" s="59" t="n"/>
      <x:c r="Q105" s="59" t="n"/>
    </x:row>
    <x:row r="106">
      <x:c r="A106"/>
      <x:c r="B106"/>
      <x:c r="C106"/>
      <x:c r="D106"/>
      <x:c r="E106"/>
      <x:c r="F106"/>
      <x:c r="G106"/>
      <x:c r="H106"/>
      <x:c r="I106"/>
      <x:c r="J106"/>
      <x:c r="K106" s="59" t="n"/>
      <x:c r="L106" s="59" t="n"/>
      <x:c r="M106" s="59" t="n"/>
      <x:c r="N106" s="59" t="n"/>
      <x:c r="O106" s="59" t="n"/>
      <x:c r="P106" s="59" t="n"/>
      <x:c r="Q106" s="59" t="n"/>
    </x:row>
    <x:row r="107">
      <x:c r="A107"/>
      <x:c r="B107"/>
      <x:c r="C107"/>
      <x:c r="D107"/>
      <x:c r="E107"/>
      <x:c r="F107"/>
      <x:c r="G107"/>
      <x:c r="H107"/>
      <x:c r="I107"/>
      <x:c r="J107"/>
      <x:c r="K107" s="59" t="n"/>
      <x:c r="L107" s="59" t="n"/>
      <x:c r="M107" s="59" t="n"/>
      <x:c r="N107" s="59" t="n"/>
      <x:c r="O107" s="59" t="n"/>
      <x:c r="P107" s="59" t="n"/>
      <x:c r="Q107" s="59" t="n"/>
    </x:row>
    <x:row r="108">
      <x:c r="A108"/>
      <x:c r="B108"/>
      <x:c r="C108"/>
      <x:c r="D108"/>
      <x:c r="E108"/>
      <x:c r="F108"/>
      <x:c r="G108"/>
      <x:c r="H108"/>
      <x:c r="I108"/>
      <x:c r="J108"/>
      <x:c r="K108" s="59" t="n"/>
      <x:c r="L108" s="59" t="n"/>
      <x:c r="M108" s="59" t="n"/>
      <x:c r="N108" s="59" t="n"/>
      <x:c r="O108" s="59" t="n"/>
      <x:c r="P108" s="59" t="n"/>
      <x:c r="Q108" s="59" t="n"/>
    </x:row>
    <x:row r="109">
      <x:c r="A109"/>
      <x:c r="B109"/>
      <x:c r="C109"/>
      <x:c r="D109"/>
      <x:c r="E109"/>
      <x:c r="F109"/>
      <x:c r="G109"/>
      <x:c r="H109"/>
      <x:c r="I109"/>
      <x:c r="J109"/>
      <x:c r="K109" s="59" t="n"/>
      <x:c r="L109" s="59" t="n"/>
      <x:c r="M109" s="59" t="n"/>
      <x:c r="N109" s="59" t="n"/>
      <x:c r="O109" s="59" t="n"/>
      <x:c r="P109" s="59" t="n"/>
      <x:c r="Q109" s="59" t="n"/>
    </x:row>
    <x:row r="110">
      <x:c r="A110"/>
      <x:c r="B110"/>
      <x:c r="C110"/>
      <x:c r="D110"/>
      <x:c r="E110"/>
      <x:c r="F110"/>
      <x:c r="G110"/>
      <x:c r="H110"/>
      <x:c r="I110"/>
      <x:c r="J110"/>
      <x:c r="K110" s="59" t="n"/>
      <x:c r="L110" s="59" t="n"/>
      <x:c r="M110" s="59" t="n"/>
      <x:c r="N110" s="59" t="n"/>
      <x:c r="O110" s="59" t="n"/>
      <x:c r="P110" s="59" t="n"/>
      <x:c r="Q110" s="59" t="n"/>
    </x:row>
    <x:row r="111">
      <x:c r="A111"/>
      <x:c r="B111"/>
      <x:c r="C111"/>
      <x:c r="D111"/>
      <x:c r="E111"/>
      <x:c r="F111"/>
      <x:c r="G111"/>
      <x:c r="H111"/>
      <x:c r="I111"/>
      <x:c r="J111"/>
      <x:c r="K111" s="59" t="n"/>
      <x:c r="L111" s="59" t="n"/>
      <x:c r="M111" s="59" t="n"/>
      <x:c r="N111" s="59" t="n"/>
      <x:c r="O111" s="59" t="n"/>
      <x:c r="P111" s="59" t="n"/>
      <x:c r="Q111" s="59" t="n"/>
    </x:row>
    <x:row r="112">
      <x:c r="A112"/>
      <x:c r="B112"/>
      <x:c r="C112"/>
      <x:c r="D112"/>
      <x:c r="E112"/>
      <x:c r="F112"/>
      <x:c r="G112"/>
      <x:c r="H112"/>
      <x:c r="I112"/>
      <x:c r="J112"/>
      <x:c r="K112" s="59" t="n"/>
      <x:c r="L112" s="59" t="n"/>
      <x:c r="M112" s="59" t="n"/>
      <x:c r="N112" s="59" t="n"/>
      <x:c r="O112" s="59" t="n"/>
      <x:c r="P112" s="59" t="n"/>
      <x:c r="Q112" s="59" t="n"/>
    </x:row>
    <x:row r="113">
      <x:c r="A113"/>
      <x:c r="B113"/>
      <x:c r="C113"/>
      <x:c r="D113"/>
      <x:c r="E113"/>
      <x:c r="F113"/>
      <x:c r="G113"/>
      <x:c r="H113"/>
      <x:c r="I113"/>
      <x:c r="J113"/>
      <x:c r="K113" s="59" t="n"/>
      <x:c r="L113" s="59" t="n"/>
      <x:c r="M113" s="59" t="n"/>
      <x:c r="N113" s="59" t="n"/>
      <x:c r="O113" s="59" t="n"/>
      <x:c r="P113" s="59" t="n"/>
      <x:c r="Q113" s="59" t="n"/>
    </x:row>
    <x:row r="114">
      <x:c r="A114"/>
      <x:c r="B114"/>
      <x:c r="C114"/>
      <x:c r="D114"/>
      <x:c r="E114"/>
      <x:c r="F114"/>
      <x:c r="G114"/>
      <x:c r="H114"/>
      <x:c r="I114"/>
      <x:c r="J114"/>
      <x:c r="K114" s="59" t="n"/>
      <x:c r="L114" s="59" t="n"/>
      <x:c r="M114" s="59" t="n"/>
      <x:c r="N114" s="59" t="n"/>
      <x:c r="O114" s="59" t="n"/>
      <x:c r="P114" s="59" t="n"/>
      <x:c r="Q114" s="59" t="n"/>
    </x:row>
    <x:row r="115">
      <x:c r="A115"/>
      <x:c r="B115"/>
      <x:c r="C115"/>
      <x:c r="D115"/>
      <x:c r="E115"/>
      <x:c r="F115"/>
      <x:c r="G115"/>
      <x:c r="H115"/>
      <x:c r="I115"/>
      <x:c r="J115"/>
      <x:c r="K115" s="59" t="n"/>
      <x:c r="L115" s="59" t="n"/>
      <x:c r="M115" s="59" t="n"/>
      <x:c r="N115" s="59" t="n"/>
      <x:c r="O115" s="59" t="n"/>
      <x:c r="P115" s="59" t="n"/>
      <x:c r="Q115" s="59" t="n"/>
    </x:row>
    <x:row r="116">
      <x:c r="A116"/>
      <x:c r="B116"/>
      <x:c r="C116"/>
      <x:c r="D116"/>
      <x:c r="E116"/>
      <x:c r="F116"/>
      <x:c r="G116"/>
      <x:c r="H116"/>
      <x:c r="I116"/>
      <x:c r="J116"/>
      <x:c r="K116" s="59" t="n"/>
      <x:c r="L116" s="59" t="n"/>
      <x:c r="M116" s="59" t="n"/>
      <x:c r="N116" s="59" t="n"/>
      <x:c r="O116" s="59" t="n"/>
      <x:c r="P116" s="59" t="n"/>
      <x:c r="Q116" s="59" t="n"/>
    </x:row>
    <x:row r="117">
      <x:c r="A117"/>
      <x:c r="B117"/>
      <x:c r="C117"/>
      <x:c r="D117"/>
      <x:c r="E117"/>
      <x:c r="F117"/>
      <x:c r="G117"/>
      <x:c r="H117"/>
      <x:c r="I117"/>
      <x:c r="J117"/>
      <x:c r="K117" s="59" t="n"/>
      <x:c r="L117" s="59" t="n"/>
      <x:c r="M117" s="59" t="n"/>
      <x:c r="N117" s="59" t="n"/>
      <x:c r="O117" s="59" t="n"/>
      <x:c r="P117" s="59" t="n"/>
      <x:c r="Q117" s="59" t="n"/>
    </x:row>
    <x:row r="118">
      <x:c r="A118"/>
      <x:c r="B118"/>
      <x:c r="C118"/>
      <x:c r="D118"/>
      <x:c r="E118"/>
      <x:c r="F118"/>
      <x:c r="G118"/>
      <x:c r="H118"/>
      <x:c r="I118"/>
      <x:c r="J118"/>
      <x:c r="K118" s="59" t="n"/>
      <x:c r="L118" s="59" t="n"/>
      <x:c r="M118" s="59" t="n"/>
      <x:c r="N118" s="59" t="n"/>
      <x:c r="O118" s="59" t="n"/>
      <x:c r="P118" s="59" t="n"/>
      <x:c r="Q118" s="59" t="n"/>
    </x:row>
    <x:row r="119">
      <x:c r="A119"/>
      <x:c r="B119"/>
      <x:c r="C119"/>
      <x:c r="D119"/>
      <x:c r="E119"/>
      <x:c r="F119"/>
      <x:c r="G119"/>
      <x:c r="H119"/>
      <x:c r="I119"/>
      <x:c r="J119"/>
      <x:c r="K119" s="59" t="n"/>
      <x:c r="L119" s="59" t="n"/>
      <x:c r="M119" s="59" t="n"/>
      <x:c r="N119" s="59" t="n"/>
      <x:c r="O119" s="59" t="n"/>
      <x:c r="P119" s="59" t="n"/>
      <x:c r="Q119" s="59" t="n"/>
    </x:row>
    <x:row r="120">
      <x:c r="A120"/>
      <x:c r="B120"/>
      <x:c r="C120"/>
      <x:c r="D120"/>
      <x:c r="E120"/>
      <x:c r="F120"/>
      <x:c r="G120"/>
      <x:c r="H120"/>
      <x:c r="I120"/>
      <x:c r="J120"/>
      <x:c r="K120" s="59" t="n"/>
      <x:c r="L120" s="59" t="n"/>
      <x:c r="M120" s="59" t="n"/>
      <x:c r="N120" s="59" t="n"/>
      <x:c r="O120" s="59" t="n"/>
      <x:c r="P120" s="59" t="n"/>
      <x:c r="Q120" s="59" t="n"/>
    </x:row>
    <x:row r="121">
      <x:c r="A121"/>
      <x:c r="B121"/>
      <x:c r="C121"/>
      <x:c r="D121"/>
      <x:c r="E121"/>
      <x:c r="F121"/>
      <x:c r="G121"/>
      <x:c r="H121"/>
      <x:c r="I121"/>
      <x:c r="J121"/>
      <x:c r="K121" s="59" t="n"/>
      <x:c r="L121" s="59" t="n"/>
      <x:c r="M121" s="59" t="n"/>
      <x:c r="N121" s="59" t="n"/>
      <x:c r="O121" s="59" t="n"/>
      <x:c r="P121" s="59" t="n"/>
      <x:c r="Q121" s="59" t="n"/>
    </x:row>
    <x:row r="122">
      <x:c r="A122"/>
      <x:c r="B122"/>
      <x:c r="C122"/>
      <x:c r="D122"/>
      <x:c r="E122"/>
      <x:c r="F122"/>
      <x:c r="G122"/>
      <x:c r="H122"/>
      <x:c r="I122"/>
      <x:c r="J122"/>
      <x:c r="K122" s="59" t="n"/>
      <x:c r="L122" s="59" t="n"/>
      <x:c r="M122" s="59" t="n"/>
      <x:c r="N122" s="59" t="n"/>
      <x:c r="O122" s="59" t="n"/>
      <x:c r="P122" s="59" t="n"/>
      <x:c r="Q122" s="59" t="n"/>
    </x:row>
    <x:row r="123">
      <x:c r="A123"/>
      <x:c r="B123"/>
      <x:c r="C123"/>
      <x:c r="D123"/>
      <x:c r="E123"/>
      <x:c r="F123"/>
      <x:c r="G123"/>
      <x:c r="H123"/>
      <x:c r="I123"/>
      <x:c r="J123"/>
      <x:c r="K123" s="59" t="n"/>
      <x:c r="L123" s="59" t="n"/>
      <x:c r="M123" s="59" t="n"/>
      <x:c r="N123" s="59" t="n"/>
      <x:c r="O123" s="59" t="n"/>
      <x:c r="P123" s="59" t="n"/>
      <x:c r="Q123" s="59" t="n"/>
    </x:row>
    <x:row r="124">
      <x:c r="A124"/>
      <x:c r="B124"/>
      <x:c r="C124"/>
      <x:c r="D124"/>
      <x:c r="E124"/>
      <x:c r="F124"/>
      <x:c r="G124"/>
      <x:c r="H124"/>
      <x:c r="I124"/>
      <x:c r="J124"/>
      <x:c r="K124" s="59" t="n"/>
      <x:c r="L124" s="59" t="n"/>
      <x:c r="M124" s="59" t="n"/>
      <x:c r="N124" s="59" t="n"/>
      <x:c r="O124" s="59" t="n"/>
      <x:c r="P124" s="59" t="n"/>
      <x:c r="Q124" s="59" t="n"/>
    </x:row>
    <x:row r="125">
      <x:c r="A125"/>
      <x:c r="B125"/>
      <x:c r="C125"/>
      <x:c r="D125"/>
      <x:c r="E125"/>
      <x:c r="F125"/>
      <x:c r="G125"/>
      <x:c r="H125"/>
      <x:c r="I125"/>
      <x:c r="J125"/>
      <x:c r="K125" s="59" t="n"/>
      <x:c r="L125" s="59" t="n"/>
      <x:c r="M125" s="59" t="n"/>
      <x:c r="N125" s="59" t="n"/>
      <x:c r="O125" s="59" t="n"/>
      <x:c r="P125" s="59" t="n"/>
      <x:c r="Q125" s="59" t="n"/>
    </x:row>
    <x:row r="126">
      <x:c r="A126"/>
      <x:c r="B126"/>
      <x:c r="C126"/>
      <x:c r="D126"/>
      <x:c r="E126"/>
      <x:c r="F126"/>
      <x:c r="G126"/>
      <x:c r="H126"/>
      <x:c r="I126"/>
      <x:c r="J126"/>
      <x:c r="K126" s="59" t="n"/>
      <x:c r="L126" s="59" t="n"/>
      <x:c r="M126" s="59" t="n"/>
      <x:c r="N126" s="59" t="n"/>
      <x:c r="O126" s="59" t="n"/>
      <x:c r="P126" s="59" t="n"/>
      <x:c r="Q126" s="59" t="n"/>
    </x:row>
    <x:row r="127">
      <x:c r="A127"/>
      <x:c r="B127"/>
      <x:c r="C127"/>
      <x:c r="D127"/>
      <x:c r="E127"/>
      <x:c r="F127"/>
      <x:c r="G127"/>
      <x:c r="H127"/>
      <x:c r="I127"/>
      <x:c r="J127"/>
      <x:c r="K127" s="59" t="n"/>
      <x:c r="L127" s="59" t="n"/>
      <x:c r="M127" s="59" t="n"/>
      <x:c r="N127" s="59" t="n"/>
      <x:c r="O127" s="59" t="n"/>
      <x:c r="P127" s="59" t="n"/>
      <x:c r="Q127" s="59" t="n"/>
    </x:row>
    <x:row r="128">
      <x:c r="A128"/>
      <x:c r="B128"/>
      <x:c r="C128"/>
      <x:c r="D128"/>
      <x:c r="E128"/>
      <x:c r="F128"/>
      <x:c r="G128"/>
      <x:c r="H128"/>
      <x:c r="I128"/>
      <x:c r="J128"/>
      <x:c r="K128" s="59" t="n"/>
      <x:c r="L128" s="59" t="n"/>
      <x:c r="M128" s="59" t="n"/>
      <x:c r="N128" s="59" t="n"/>
      <x:c r="O128" s="59" t="n"/>
      <x:c r="P128" s="59" t="n"/>
      <x:c r="Q128" s="59" t="n"/>
    </x:row>
    <x:row r="129">
      <x:c r="A129"/>
      <x:c r="B129"/>
      <x:c r="C129"/>
      <x:c r="D129"/>
      <x:c r="E129"/>
      <x:c r="F129"/>
      <x:c r="G129"/>
      <x:c r="H129"/>
      <x:c r="I129"/>
      <x:c r="J129"/>
      <x:c r="K129" s="59" t="n"/>
      <x:c r="L129" s="59" t="n"/>
      <x:c r="M129" s="59" t="n"/>
      <x:c r="N129" s="59" t="n"/>
      <x:c r="O129" s="59" t="n"/>
      <x:c r="P129" s="59" t="n"/>
      <x:c r="Q129" s="59" t="n"/>
    </x:row>
    <x:row r="130">
      <x:c r="A130"/>
      <x:c r="B130"/>
      <x:c r="C130"/>
      <x:c r="D130"/>
      <x:c r="E130"/>
      <x:c r="F130"/>
      <x:c r="G130"/>
      <x:c r="H130"/>
      <x:c r="I130"/>
      <x:c r="J130"/>
      <x:c r="K130" s="59" t="n"/>
      <x:c r="L130" s="59" t="n"/>
      <x:c r="M130" s="59" t="n"/>
      <x:c r="N130" s="59" t="n"/>
      <x:c r="O130" s="59" t="n"/>
      <x:c r="P130" s="59" t="n"/>
      <x:c r="Q130" s="59" t="n"/>
    </x:row>
    <x:row r="131">
      <x:c r="A131"/>
      <x:c r="B131"/>
      <x:c r="C131"/>
      <x:c r="D131"/>
      <x:c r="E131"/>
      <x:c r="F131"/>
      <x:c r="G131"/>
      <x:c r="H131"/>
      <x:c r="I131"/>
      <x:c r="J131"/>
      <x:c r="K131" s="59" t="n"/>
      <x:c r="L131" s="59" t="n"/>
      <x:c r="M131" s="59" t="n"/>
      <x:c r="N131" s="59" t="n"/>
      <x:c r="O131" s="59" t="n"/>
      <x:c r="P131" s="59" t="n"/>
      <x:c r="Q131" s="59" t="n"/>
    </x:row>
    <x:row r="132">
      <x:c r="A132"/>
      <x:c r="B132"/>
      <x:c r="C132"/>
      <x:c r="D132"/>
      <x:c r="E132"/>
      <x:c r="F132"/>
      <x:c r="G132"/>
      <x:c r="H132"/>
      <x:c r="I132"/>
      <x:c r="J132"/>
      <x:c r="K132" s="59" t="n"/>
      <x:c r="L132" s="59" t="n"/>
      <x:c r="M132" s="59" t="n"/>
      <x:c r="N132" s="59" t="n"/>
      <x:c r="O132" s="59" t="n"/>
      <x:c r="P132" s="59" t="n"/>
      <x:c r="Q132" s="59" t="n"/>
    </x:row>
    <x:row r="133">
      <x:c r="A133"/>
      <x:c r="B133"/>
      <x:c r="C133"/>
      <x:c r="D133"/>
      <x:c r="E133"/>
      <x:c r="F133"/>
      <x:c r="G133"/>
      <x:c r="H133"/>
      <x:c r="I133"/>
      <x:c r="J133"/>
      <x:c r="K133" s="59" t="n"/>
      <x:c r="L133" s="59" t="n"/>
      <x:c r="M133" s="59" t="n"/>
      <x:c r="N133" s="59" t="n"/>
      <x:c r="O133" s="59" t="n"/>
      <x:c r="P133" s="59" t="n"/>
      <x:c r="Q133" s="59" t="n"/>
    </x:row>
    <x:row r="134">
      <x:c r="A134"/>
      <x:c r="B134"/>
      <x:c r="C134"/>
      <x:c r="D134"/>
      <x:c r="E134"/>
      <x:c r="F134"/>
      <x:c r="G134"/>
      <x:c r="H134"/>
      <x:c r="I134"/>
      <x:c r="J134"/>
      <x:c r="K134" s="59" t="n"/>
      <x:c r="L134" s="59" t="n"/>
      <x:c r="M134" s="59" t="n"/>
      <x:c r="N134" s="59" t="n"/>
      <x:c r="O134" s="59" t="n"/>
      <x:c r="P134" s="59" t="n"/>
      <x:c r="Q134" s="59" t="n"/>
    </x:row>
    <x:row r="135">
      <x:c r="A135"/>
      <x:c r="B135"/>
      <x:c r="C135"/>
      <x:c r="D135"/>
      <x:c r="E135"/>
      <x:c r="F135"/>
      <x:c r="G135"/>
      <x:c r="H135"/>
      <x:c r="I135"/>
      <x:c r="J135"/>
      <x:c r="K135" s="59" t="n"/>
      <x:c r="L135" s="59" t="n"/>
      <x:c r="M135" s="59" t="n"/>
      <x:c r="N135" s="59" t="n"/>
      <x:c r="O135" s="59" t="n"/>
      <x:c r="P135" s="59" t="n"/>
      <x:c r="Q135" s="59" t="n"/>
    </x:row>
    <x:row r="136">
      <x:c r="A136"/>
      <x:c r="B136"/>
      <x:c r="C136"/>
      <x:c r="D136"/>
      <x:c r="E136"/>
      <x:c r="F136"/>
      <x:c r="G136"/>
      <x:c r="H136"/>
      <x:c r="I136"/>
      <x:c r="J136"/>
      <x:c r="K136" s="59" t="n"/>
      <x:c r="L136" s="59" t="n"/>
      <x:c r="M136" s="59" t="n"/>
      <x:c r="N136" s="59" t="n"/>
      <x:c r="O136" s="59" t="n"/>
      <x:c r="P136" s="59" t="n"/>
      <x:c r="Q136" s="59" t="n"/>
    </x:row>
    <x:row r="137">
      <x:c r="A137"/>
      <x:c r="B137"/>
      <x:c r="C137"/>
      <x:c r="D137"/>
      <x:c r="E137"/>
      <x:c r="F137"/>
      <x:c r="G137"/>
      <x:c r="H137"/>
      <x:c r="I137"/>
      <x:c r="J137"/>
      <x:c r="K137" s="59" t="n"/>
      <x:c r="L137" s="59" t="n"/>
      <x:c r="M137" s="59" t="n"/>
      <x:c r="N137" s="59" t="n"/>
      <x:c r="O137" s="59" t="n"/>
      <x:c r="P137" s="59" t="n"/>
      <x:c r="Q137" s="59" t="n"/>
    </x:row>
    <x:row r="138">
      <x:c r="A138"/>
      <x:c r="B138"/>
      <x:c r="C138"/>
      <x:c r="D138"/>
      <x:c r="E138"/>
      <x:c r="F138"/>
      <x:c r="G138"/>
      <x:c r="H138"/>
      <x:c r="I138"/>
      <x:c r="J138"/>
      <x:c r="K138" s="59" t="n"/>
      <x:c r="L138" s="59" t="n"/>
      <x:c r="M138" s="59" t="n"/>
      <x:c r="N138" s="59" t="n"/>
      <x:c r="O138" s="59" t="n"/>
      <x:c r="P138" s="59" t="n"/>
      <x:c r="Q138" s="59" t="n"/>
    </x:row>
    <x:row r="139">
      <x:c r="A139"/>
      <x:c r="B139"/>
      <x:c r="C139"/>
      <x:c r="D139"/>
      <x:c r="E139"/>
      <x:c r="F139"/>
      <x:c r="G139"/>
      <x:c r="H139"/>
      <x:c r="I139"/>
      <x:c r="J139"/>
      <x:c r="K139" s="59" t="n"/>
      <x:c r="L139" s="59" t="n"/>
      <x:c r="M139" s="59" t="n"/>
      <x:c r="N139" s="59" t="n"/>
      <x:c r="O139" s="59" t="n"/>
      <x:c r="P139" s="59" t="n"/>
      <x:c r="Q139" s="59" t="n"/>
    </x:row>
    <x:row r="140">
      <x:c r="A140"/>
      <x:c r="B140"/>
      <x:c r="C140"/>
      <x:c r="D140"/>
      <x:c r="E140"/>
      <x:c r="F140"/>
      <x:c r="G140"/>
      <x:c r="H140"/>
      <x:c r="I140"/>
      <x:c r="J140"/>
      <x:c r="K140" s="59" t="n"/>
      <x:c r="L140" s="59" t="n"/>
      <x:c r="M140" s="59" t="n"/>
      <x:c r="N140" s="59" t="n"/>
      <x:c r="O140" s="59" t="n"/>
      <x:c r="P140" s="59" t="n"/>
      <x:c r="Q140" s="59" t="n"/>
    </x:row>
    <x:row r="141">
      <x:c r="A141"/>
      <x:c r="B141"/>
      <x:c r="C141"/>
      <x:c r="D141"/>
      <x:c r="E141"/>
      <x:c r="F141"/>
      <x:c r="G141"/>
      <x:c r="H141"/>
      <x:c r="I141"/>
      <x:c r="J141"/>
      <x:c r="K141" s="59" t="n"/>
      <x:c r="L141" s="59" t="n"/>
      <x:c r="M141" s="59" t="n"/>
      <x:c r="N141" s="59" t="n"/>
      <x:c r="O141" s="59" t="n"/>
      <x:c r="P141" s="59" t="n"/>
      <x:c r="Q141" s="59" t="n"/>
    </x:row>
    <x:row r="142">
      <x:c r="A142"/>
      <x:c r="B142"/>
      <x:c r="C142"/>
      <x:c r="D142"/>
      <x:c r="E142"/>
      <x:c r="F142"/>
      <x:c r="G142"/>
      <x:c r="H142"/>
      <x:c r="I142"/>
      <x:c r="J142"/>
      <x:c r="K142" s="59" t="n"/>
      <x:c r="L142" s="59" t="n"/>
      <x:c r="M142" s="59" t="n"/>
      <x:c r="N142" s="59" t="n"/>
      <x:c r="O142" s="59" t="n"/>
      <x:c r="P142" s="59" t="n"/>
      <x:c r="Q142" s="59" t="n"/>
    </x:row>
    <x:row r="143">
      <x:c r="A143"/>
      <x:c r="B143"/>
      <x:c r="C143"/>
      <x:c r="D143"/>
      <x:c r="E143"/>
      <x:c r="F143"/>
      <x:c r="G143"/>
      <x:c r="H143"/>
      <x:c r="I143"/>
      <x:c r="J143"/>
      <x:c r="K143" s="59" t="n"/>
      <x:c r="L143" s="59" t="n"/>
      <x:c r="M143" s="59" t="n"/>
      <x:c r="N143" s="59" t="n"/>
      <x:c r="O143" s="59" t="n"/>
      <x:c r="P143" s="59" t="n"/>
      <x:c r="Q143" s="59" t="n"/>
    </x:row>
    <x:row r="144">
      <x:c r="A144"/>
      <x:c r="B144"/>
      <x:c r="C144"/>
      <x:c r="D144"/>
      <x:c r="E144"/>
      <x:c r="F144"/>
      <x:c r="G144"/>
      <x:c r="H144"/>
      <x:c r="I144"/>
      <x:c r="J144"/>
      <x:c r="K144" s="59" t="n"/>
      <x:c r="L144" s="59" t="n"/>
      <x:c r="M144" s="59" t="n"/>
      <x:c r="N144" s="59" t="n"/>
      <x:c r="O144" s="59" t="n"/>
      <x:c r="P144" s="59" t="n"/>
      <x:c r="Q144" s="59" t="n"/>
    </x:row>
    <x:row r="145">
      <x:c r="A145"/>
      <x:c r="B145"/>
      <x:c r="C145"/>
      <x:c r="D145"/>
      <x:c r="E145"/>
      <x:c r="F145"/>
      <x:c r="G145"/>
      <x:c r="H145"/>
      <x:c r="I145"/>
      <x:c r="J145"/>
      <x:c r="K145" s="59" t="n"/>
      <x:c r="L145" s="59" t="n"/>
      <x:c r="M145" s="59" t="n"/>
      <x:c r="N145" s="59" t="n"/>
      <x:c r="O145" s="59" t="n"/>
      <x:c r="P145" s="59" t="n"/>
      <x:c r="Q145" s="59" t="n"/>
    </x:row>
    <x:row r="146">
      <x:c r="A146"/>
      <x:c r="B146"/>
      <x:c r="C146"/>
      <x:c r="D146"/>
      <x:c r="E146"/>
      <x:c r="F146"/>
      <x:c r="G146"/>
      <x:c r="H146"/>
      <x:c r="I146"/>
      <x:c r="J146"/>
      <x:c r="K146" s="59" t="n"/>
      <x:c r="L146" s="59" t="n"/>
      <x:c r="M146" s="59" t="n"/>
      <x:c r="N146" s="59" t="n"/>
      <x:c r="O146" s="59" t="n"/>
      <x:c r="P146" s="59" t="n"/>
      <x:c r="Q146" s="59" t="n"/>
    </x:row>
    <x:row r="147">
      <x:c r="A147"/>
      <x:c r="B147"/>
      <x:c r="C147"/>
      <x:c r="D147"/>
      <x:c r="E147"/>
      <x:c r="F147"/>
      <x:c r="G147"/>
      <x:c r="H147"/>
      <x:c r="I147"/>
      <x:c r="J147"/>
      <x:c r="K147" s="59" t="n"/>
      <x:c r="L147" s="59" t="n"/>
      <x:c r="M147" s="59" t="n"/>
      <x:c r="N147" s="59" t="n"/>
      <x:c r="O147" s="59" t="n"/>
      <x:c r="P147" s="59" t="n"/>
      <x:c r="Q147" s="59" t="n"/>
    </x:row>
    <x:row r="148">
      <x:c r="A148"/>
      <x:c r="B148"/>
      <x:c r="C148"/>
      <x:c r="D148"/>
      <x:c r="E148"/>
      <x:c r="F148"/>
      <x:c r="G148"/>
      <x:c r="H148"/>
      <x:c r="I148"/>
      <x:c r="J148"/>
      <x:c r="K148" s="59" t="n"/>
      <x:c r="L148" s="59" t="n"/>
      <x:c r="M148" s="59" t="n"/>
      <x:c r="N148" s="59" t="n"/>
      <x:c r="O148" s="59" t="n"/>
      <x:c r="P148" s="59" t="n"/>
      <x:c r="Q148" s="59" t="n"/>
    </x:row>
    <x:row r="149">
      <x:c r="A149"/>
      <x:c r="B149"/>
      <x:c r="C149"/>
      <x:c r="D149"/>
      <x:c r="E149"/>
      <x:c r="F149"/>
      <x:c r="G149"/>
      <x:c r="H149"/>
      <x:c r="I149"/>
      <x:c r="J149"/>
      <x:c r="K149" s="59" t="n"/>
      <x:c r="L149" s="59" t="n"/>
      <x:c r="M149" s="59" t="n"/>
      <x:c r="N149" s="59" t="n"/>
      <x:c r="O149" s="59" t="n"/>
      <x:c r="P149" s="59" t="n"/>
      <x:c r="Q149" s="59" t="n"/>
    </x:row>
    <x:row r="150">
      <x:c r="A150"/>
      <x:c r="B150"/>
      <x:c r="C150"/>
      <x:c r="D150"/>
      <x:c r="E150"/>
      <x:c r="F150"/>
      <x:c r="G150"/>
      <x:c r="H150"/>
      <x:c r="I150"/>
      <x:c r="J150"/>
      <x:c r="K150" s="59" t="n"/>
      <x:c r="L150" s="59" t="n"/>
      <x:c r="M150" s="59" t="n"/>
      <x:c r="N150" s="59" t="n"/>
      <x:c r="O150" s="59" t="n"/>
      <x:c r="P150" s="59" t="n"/>
      <x:c r="Q150" s="59" t="n"/>
    </x:row>
    <x:row r="151">
      <x:c r="A151"/>
      <x:c r="B151"/>
      <x:c r="C151"/>
      <x:c r="D151"/>
      <x:c r="E151"/>
      <x:c r="F151"/>
      <x:c r="G151"/>
      <x:c r="H151"/>
      <x:c r="I151"/>
      <x:c r="J151"/>
      <x:c r="K151" s="59" t="n"/>
      <x:c r="L151" s="59" t="n"/>
      <x:c r="M151" s="59" t="n"/>
      <x:c r="N151" s="59" t="n"/>
      <x:c r="O151" s="59" t="n"/>
      <x:c r="P151" s="59" t="n"/>
      <x:c r="Q151" s="59" t="n"/>
    </x:row>
    <x:row r="152">
      <x:c r="A152"/>
      <x:c r="B152"/>
      <x:c r="C152"/>
      <x:c r="D152"/>
      <x:c r="E152"/>
      <x:c r="F152"/>
      <x:c r="G152"/>
      <x:c r="H152"/>
      <x:c r="I152"/>
      <x:c r="J152"/>
      <x:c r="K152" s="59" t="n"/>
      <x:c r="L152" s="59" t="n"/>
      <x:c r="M152" s="59" t="n"/>
      <x:c r="N152" s="59" t="n"/>
      <x:c r="O152" s="59" t="n"/>
      <x:c r="P152" s="59" t="n"/>
      <x:c r="Q152" s="59" t="n"/>
    </x:row>
    <x:row r="153">
      <x:c r="A153"/>
      <x:c r="B153"/>
      <x:c r="C153"/>
      <x:c r="D153"/>
      <x:c r="E153"/>
      <x:c r="F153"/>
      <x:c r="G153"/>
      <x:c r="H153"/>
      <x:c r="I153"/>
      <x:c r="J153"/>
      <x:c r="K153" s="59" t="n"/>
      <x:c r="L153" s="59" t="n"/>
      <x:c r="M153" s="59" t="n"/>
      <x:c r="N153" s="59" t="n"/>
      <x:c r="O153" s="59" t="n"/>
      <x:c r="P153" s="59" t="n"/>
      <x:c r="Q153" s="59" t="n"/>
    </x:row>
    <x:row r="154">
      <x:c r="A154"/>
      <x:c r="B154"/>
      <x:c r="C154"/>
      <x:c r="D154"/>
      <x:c r="E154"/>
      <x:c r="F154"/>
      <x:c r="G154"/>
      <x:c r="H154"/>
      <x:c r="I154"/>
      <x:c r="J154"/>
      <x:c r="K154" s="59" t="n"/>
      <x:c r="L154" s="59" t="n"/>
      <x:c r="M154" s="59" t="n"/>
      <x:c r="N154" s="59" t="n"/>
      <x:c r="O154" s="59" t="n"/>
      <x:c r="P154" s="59" t="n"/>
      <x:c r="Q154" s="59" t="n"/>
    </x:row>
    <x:row r="155">
      <x:c r="A155"/>
      <x:c r="B155"/>
      <x:c r="C155"/>
      <x:c r="D155"/>
      <x:c r="E155"/>
      <x:c r="F155"/>
      <x:c r="G155"/>
      <x:c r="H155"/>
      <x:c r="I155"/>
      <x:c r="J155"/>
      <x:c r="K155" s="59" t="n"/>
      <x:c r="L155" s="59" t="n"/>
      <x:c r="M155" s="59" t="n"/>
      <x:c r="N155" s="59" t="n"/>
      <x:c r="O155" s="59" t="n"/>
      <x:c r="P155" s="59" t="n"/>
      <x:c r="Q155" s="59" t="n"/>
    </x:row>
    <x:row r="156">
      <x:c r="A156"/>
      <x:c r="B156"/>
      <x:c r="C156"/>
      <x:c r="D156"/>
      <x:c r="E156"/>
      <x:c r="F156"/>
      <x:c r="G156"/>
      <x:c r="H156"/>
      <x:c r="I156"/>
      <x:c r="J156"/>
      <x:c r="K156" s="59" t="n"/>
      <x:c r="L156" s="59" t="n"/>
      <x:c r="M156" s="59" t="n"/>
      <x:c r="N156" s="59" t="n"/>
      <x:c r="O156" s="59" t="n"/>
      <x:c r="P156" s="59" t="n"/>
      <x:c r="Q156" s="59" t="n"/>
    </x:row>
    <x:row r="157">
      <x:c r="A157"/>
      <x:c r="B157"/>
      <x:c r="C157"/>
      <x:c r="D157"/>
      <x:c r="E157"/>
      <x:c r="F157"/>
      <x:c r="G157"/>
      <x:c r="H157"/>
      <x:c r="I157"/>
      <x:c r="J157"/>
      <x:c r="K157" s="59" t="n"/>
      <x:c r="L157" s="59" t="n"/>
      <x:c r="M157" s="59" t="n"/>
      <x:c r="N157" s="59" t="n"/>
      <x:c r="O157" s="59" t="n"/>
      <x:c r="P157" s="59" t="n"/>
      <x:c r="Q157" s="59" t="n"/>
    </x:row>
    <x:row r="158">
      <x:c r="A158"/>
      <x:c r="B158"/>
      <x:c r="C158"/>
      <x:c r="D158"/>
      <x:c r="E158"/>
      <x:c r="F158"/>
      <x:c r="G158"/>
      <x:c r="H158"/>
      <x:c r="I158"/>
      <x:c r="J158"/>
      <x:c r="K158" s="59" t="n"/>
      <x:c r="L158" s="59" t="n"/>
      <x:c r="M158" s="59" t="n"/>
      <x:c r="N158" s="59" t="n"/>
      <x:c r="O158" s="59" t="n"/>
      <x:c r="P158" s="59" t="n"/>
      <x:c r="Q158" s="59" t="n"/>
    </x:row>
    <x:row r="159">
      <x:c r="A159"/>
      <x:c r="B159"/>
      <x:c r="C159"/>
      <x:c r="D159"/>
      <x:c r="E159"/>
      <x:c r="F159"/>
      <x:c r="G159"/>
      <x:c r="H159"/>
      <x:c r="I159"/>
      <x:c r="J159"/>
      <x:c r="K159" s="59" t="n"/>
      <x:c r="L159" s="59" t="n"/>
      <x:c r="M159" s="59" t="n"/>
      <x:c r="N159" s="59" t="n"/>
      <x:c r="O159" s="59" t="n"/>
      <x:c r="P159" s="59" t="n"/>
      <x:c r="Q159" s="59" t="n"/>
    </x:row>
    <x:row r="160">
      <x:c r="A160"/>
      <x:c r="B160"/>
      <x:c r="C160"/>
      <x:c r="D160"/>
      <x:c r="E160"/>
      <x:c r="F160"/>
      <x:c r="G160"/>
      <x:c r="H160"/>
      <x:c r="I160"/>
      <x:c r="J160"/>
      <x:c r="K160" s="59" t="n"/>
      <x:c r="L160" s="59" t="n"/>
      <x:c r="M160" s="59" t="n"/>
      <x:c r="N160" s="59" t="n"/>
      <x:c r="O160" s="59" t="n"/>
      <x:c r="P160" s="59" t="n"/>
      <x:c r="Q160" s="59" t="n"/>
    </x:row>
    <x:row r="161">
      <x:c r="A161"/>
      <x:c r="B161"/>
      <x:c r="C161"/>
      <x:c r="D161"/>
      <x:c r="E161"/>
      <x:c r="F161"/>
      <x:c r="G161"/>
      <x:c r="H161"/>
      <x:c r="I161"/>
      <x:c r="J161"/>
      <x:c r="K161" s="59" t="n"/>
      <x:c r="L161" s="59" t="n"/>
      <x:c r="M161" s="59" t="n"/>
      <x:c r="N161" s="59" t="n"/>
      <x:c r="O161" s="59" t="n"/>
      <x:c r="P161" s="59" t="n"/>
      <x:c r="Q161" s="59" t="n"/>
    </x:row>
    <x:row r="162">
      <x:c r="A162"/>
      <x:c r="B162"/>
      <x:c r="C162"/>
      <x:c r="D162"/>
      <x:c r="E162"/>
      <x:c r="F162"/>
      <x:c r="G162"/>
      <x:c r="H162"/>
      <x:c r="I162"/>
      <x:c r="J162"/>
      <x:c r="K162" s="59" t="n"/>
      <x:c r="L162" s="59" t="n"/>
      <x:c r="M162" s="59" t="n"/>
      <x:c r="N162" s="59" t="n"/>
      <x:c r="O162" s="59" t="n"/>
      <x:c r="P162" s="59" t="n"/>
      <x:c r="Q162" s="59" t="n"/>
    </x:row>
    <x:row r="163">
      <x:c r="A163"/>
      <x:c r="B163"/>
      <x:c r="C163"/>
      <x:c r="D163"/>
      <x:c r="E163"/>
      <x:c r="F163"/>
      <x:c r="G163"/>
      <x:c r="H163"/>
      <x:c r="I163"/>
      <x:c r="J163"/>
      <x:c r="K163" s="59" t="n"/>
      <x:c r="L163" s="59" t="n"/>
      <x:c r="M163" s="59" t="n"/>
      <x:c r="N163" s="59" t="n"/>
      <x:c r="O163" s="59" t="n"/>
      <x:c r="P163" s="59" t="n"/>
      <x:c r="Q163" s="59" t="n"/>
    </x:row>
    <x:row r="164">
      <x:c r="A164"/>
      <x:c r="B164"/>
      <x:c r="C164"/>
      <x:c r="D164"/>
      <x:c r="E164"/>
      <x:c r="F164"/>
      <x:c r="G164"/>
      <x:c r="H164"/>
      <x:c r="I164"/>
      <x:c r="J164"/>
      <x:c r="K164" s="59" t="n"/>
      <x:c r="L164" s="59" t="n"/>
      <x:c r="M164" s="59" t="n"/>
      <x:c r="N164" s="59" t="n"/>
      <x:c r="O164" s="59" t="n"/>
      <x:c r="P164" s="59" t="n"/>
      <x:c r="Q164" s="59" t="n"/>
    </x:row>
    <x:row r="165">
      <x:c r="A165"/>
      <x:c r="B165"/>
      <x:c r="C165"/>
      <x:c r="D165"/>
      <x:c r="E165"/>
      <x:c r="F165"/>
      <x:c r="G165"/>
      <x:c r="H165"/>
      <x:c r="I165"/>
      <x:c r="J165"/>
      <x:c r="K165" s="59" t="n"/>
      <x:c r="L165" s="59" t="n"/>
      <x:c r="M165" s="59" t="n"/>
      <x:c r="N165" s="59" t="n"/>
      <x:c r="O165" s="59" t="n"/>
      <x:c r="P165" s="59" t="n"/>
      <x:c r="Q165" s="59" t="n"/>
    </x:row>
    <x:row r="166">
      <x:c r="A166"/>
      <x:c r="B166"/>
      <x:c r="C166"/>
      <x:c r="D166"/>
      <x:c r="E166"/>
      <x:c r="F166"/>
      <x:c r="G166"/>
      <x:c r="H166"/>
      <x:c r="I166"/>
      <x:c r="J166"/>
      <x:c r="K166" s="59" t="n"/>
      <x:c r="L166" s="59" t="n"/>
      <x:c r="M166" s="59" t="n"/>
      <x:c r="N166" s="59" t="n"/>
      <x:c r="O166" s="59" t="n"/>
      <x:c r="P166" s="59" t="n"/>
      <x:c r="Q166" s="59" t="n"/>
    </x:row>
    <x:row r="167">
      <x:c r="A167"/>
      <x:c r="B167"/>
      <x:c r="C167"/>
      <x:c r="D167"/>
      <x:c r="E167"/>
      <x:c r="F167"/>
      <x:c r="G167"/>
      <x:c r="H167"/>
      <x:c r="I167"/>
      <x:c r="J167"/>
      <x:c r="K167" s="59" t="n"/>
      <x:c r="L167" s="59" t="n"/>
      <x:c r="M167" s="59" t="n"/>
      <x:c r="N167" s="59" t="n"/>
      <x:c r="O167" s="59" t="n"/>
      <x:c r="P167" s="59" t="n"/>
      <x:c r="Q167" s="59" t="n"/>
    </x:row>
    <x:row r="168">
      <x:c r="A168"/>
      <x:c r="B168"/>
      <x:c r="C168"/>
      <x:c r="D168"/>
      <x:c r="E168"/>
      <x:c r="F168"/>
      <x:c r="G168"/>
      <x:c r="H168"/>
      <x:c r="I168"/>
      <x:c r="J168"/>
      <x:c r="K168" s="59" t="n"/>
      <x:c r="L168" s="59" t="n"/>
      <x:c r="M168" s="59" t="n"/>
      <x:c r="N168" s="59" t="n"/>
      <x:c r="O168" s="59" t="n"/>
      <x:c r="P168" s="59" t="n"/>
      <x:c r="Q168" s="59" t="n"/>
    </x:row>
    <x:row r="169">
      <x:c r="A169"/>
      <x:c r="B169"/>
      <x:c r="C169"/>
      <x:c r="D169"/>
      <x:c r="E169"/>
      <x:c r="F169"/>
      <x:c r="G169"/>
      <x:c r="H169"/>
      <x:c r="I169"/>
      <x:c r="J169"/>
      <x:c r="K169" s="59" t="n"/>
      <x:c r="L169" s="59" t="n"/>
      <x:c r="M169" s="59" t="n"/>
      <x:c r="N169" s="59" t="n"/>
      <x:c r="O169" s="59" t="n"/>
      <x:c r="P169" s="59" t="n"/>
      <x:c r="Q169" s="59" t="n"/>
    </x:row>
    <x:row r="170">
      <x:c r="A170"/>
      <x:c r="B170"/>
      <x:c r="C170"/>
      <x:c r="D170"/>
      <x:c r="E170"/>
      <x:c r="F170"/>
      <x:c r="G170"/>
      <x:c r="H170"/>
      <x:c r="I170"/>
      <x:c r="J170"/>
      <x:c r="K170" s="59" t="n"/>
      <x:c r="L170" s="59" t="n"/>
      <x:c r="M170" s="59" t="n"/>
      <x:c r="N170" s="59" t="n"/>
      <x:c r="O170" s="59" t="n"/>
      <x:c r="P170" s="59" t="n"/>
      <x:c r="Q170" s="59" t="n"/>
    </x:row>
    <x:row r="171">
      <x:c r="A171"/>
      <x:c r="B171"/>
      <x:c r="C171"/>
      <x:c r="D171"/>
      <x:c r="E171"/>
      <x:c r="F171"/>
      <x:c r="G171"/>
      <x:c r="H171"/>
      <x:c r="I171"/>
      <x:c r="J171"/>
      <x:c r="K171" s="59" t="n"/>
      <x:c r="L171" s="59" t="n"/>
      <x:c r="M171" s="59" t="n"/>
      <x:c r="N171" s="59" t="n"/>
      <x:c r="O171" s="59" t="n"/>
      <x:c r="P171" s="59" t="n"/>
      <x:c r="Q171" s="59" t="n"/>
    </x:row>
    <x:row r="172">
      <x:c r="A172"/>
      <x:c r="B172"/>
      <x:c r="C172"/>
      <x:c r="D172"/>
      <x:c r="E172"/>
      <x:c r="F172"/>
      <x:c r="G172"/>
      <x:c r="H172"/>
      <x:c r="I172"/>
      <x:c r="J172"/>
      <x:c r="K172" s="59" t="n"/>
      <x:c r="L172" s="59" t="n"/>
      <x:c r="M172" s="59" t="n"/>
      <x:c r="N172" s="59" t="n"/>
      <x:c r="O172" s="59" t="n"/>
      <x:c r="P172" s="59" t="n"/>
      <x:c r="Q172" s="59" t="n"/>
    </x:row>
    <x:row r="173">
      <x:c r="A173"/>
      <x:c r="B173"/>
      <x:c r="C173"/>
      <x:c r="D173"/>
      <x:c r="E173"/>
      <x:c r="F173"/>
      <x:c r="G173"/>
      <x:c r="H173"/>
      <x:c r="I173"/>
      <x:c r="J173"/>
      <x:c r="K173" s="59" t="n"/>
      <x:c r="L173" s="59" t="n"/>
      <x:c r="M173" s="59" t="n"/>
      <x:c r="N173" s="59" t="n"/>
      <x:c r="O173" s="59" t="n"/>
      <x:c r="P173" s="59" t="n"/>
      <x:c r="Q173" s="59" t="n"/>
    </x:row>
    <x:row r="174">
      <x:c r="A174"/>
      <x:c r="B174"/>
      <x:c r="C174"/>
      <x:c r="D174"/>
      <x:c r="E174"/>
      <x:c r="F174"/>
      <x:c r="G174"/>
      <x:c r="H174"/>
      <x:c r="I174"/>
      <x:c r="J174"/>
      <x:c r="K174" s="59" t="n"/>
      <x:c r="L174" s="59" t="n"/>
      <x:c r="M174" s="59" t="n"/>
      <x:c r="N174" s="59" t="n"/>
      <x:c r="O174" s="59" t="n"/>
      <x:c r="P174" s="59" t="n"/>
      <x:c r="Q174" s="59" t="n"/>
    </x:row>
    <x:row r="175">
      <x:c r="A175"/>
      <x:c r="B175"/>
      <x:c r="C175"/>
      <x:c r="D175"/>
      <x:c r="E175"/>
      <x:c r="F175"/>
      <x:c r="G175"/>
      <x:c r="H175"/>
      <x:c r="I175"/>
      <x:c r="J175"/>
      <x:c r="K175" s="59" t="n"/>
      <x:c r="L175" s="59" t="n"/>
      <x:c r="M175" s="59" t="n"/>
      <x:c r="N175" s="59" t="n"/>
      <x:c r="O175" s="59" t="n"/>
      <x:c r="P175" s="59" t="n"/>
      <x:c r="Q175" s="59" t="n"/>
    </x:row>
    <x:row r="176">
      <x:c r="A176"/>
      <x:c r="B176"/>
      <x:c r="C176"/>
      <x:c r="D176"/>
      <x:c r="E176"/>
      <x:c r="F176"/>
      <x:c r="G176"/>
      <x:c r="H176"/>
      <x:c r="I176"/>
      <x:c r="J176"/>
      <x:c r="K176" s="59" t="n"/>
      <x:c r="L176" s="59" t="n"/>
      <x:c r="M176" s="59" t="n"/>
      <x:c r="N176" s="59" t="n"/>
      <x:c r="O176" s="59" t="n"/>
      <x:c r="P176" s="59" t="n"/>
      <x:c r="Q176" s="59" t="n"/>
    </x:row>
    <x:row r="177">
      <x:c r="A177"/>
      <x:c r="B177"/>
      <x:c r="C177"/>
      <x:c r="D177"/>
      <x:c r="E177"/>
      <x:c r="F177"/>
      <x:c r="G177"/>
      <x:c r="H177"/>
      <x:c r="I177"/>
      <x:c r="J177"/>
      <x:c r="K177" s="59" t="n"/>
      <x:c r="L177" s="59" t="n"/>
      <x:c r="M177" s="59" t="n"/>
      <x:c r="N177" s="59" t="n"/>
      <x:c r="O177" s="59" t="n"/>
      <x:c r="P177" s="59" t="n"/>
      <x:c r="Q177" s="59" t="n"/>
    </x:row>
    <x:row r="178">
      <x:c r="A178"/>
      <x:c r="B178"/>
      <x:c r="C178"/>
      <x:c r="D178"/>
      <x:c r="E178"/>
      <x:c r="F178"/>
      <x:c r="G178"/>
      <x:c r="H178"/>
      <x:c r="I178"/>
      <x:c r="J178"/>
      <x:c r="K178" s="59" t="n"/>
      <x:c r="L178" s="59" t="n"/>
      <x:c r="M178" s="59" t="n"/>
      <x:c r="N178" s="59" t="n"/>
      <x:c r="O178" s="59" t="n"/>
      <x:c r="P178" s="59" t="n"/>
      <x:c r="Q178" s="59" t="n"/>
    </x:row>
    <x:row r="179">
      <x:c r="A179"/>
      <x:c r="B179"/>
      <x:c r="C179"/>
      <x:c r="D179"/>
      <x:c r="E179"/>
      <x:c r="F179"/>
      <x:c r="G179"/>
      <x:c r="H179"/>
      <x:c r="I179"/>
      <x:c r="J179"/>
      <x:c r="K179" s="59" t="n"/>
      <x:c r="L179" s="59" t="n"/>
      <x:c r="M179" s="59" t="n"/>
      <x:c r="N179" s="59" t="n"/>
      <x:c r="O179" s="59" t="n"/>
      <x:c r="P179" s="59" t="n"/>
      <x:c r="Q179" s="59" t="n"/>
    </x:row>
    <x:row r="180">
      <x:c r="A180"/>
      <x:c r="B180"/>
      <x:c r="C180"/>
      <x:c r="D180"/>
      <x:c r="E180"/>
      <x:c r="F180"/>
      <x:c r="G180"/>
      <x:c r="H180"/>
      <x:c r="I180"/>
      <x:c r="J180"/>
      <x:c r="K180" s="59" t="n"/>
      <x:c r="L180" s="59" t="n"/>
      <x:c r="M180" s="59" t="n"/>
      <x:c r="N180" s="59" t="n"/>
      <x:c r="O180" s="59" t="n"/>
      <x:c r="P180" s="59" t="n"/>
      <x:c r="Q180" s="59" t="n"/>
    </x:row>
    <x:row r="181">
      <x:c r="A181"/>
      <x:c r="B181"/>
      <x:c r="C181"/>
      <x:c r="D181"/>
      <x:c r="E181"/>
      <x:c r="F181"/>
      <x:c r="G181"/>
      <x:c r="H181"/>
      <x:c r="I181"/>
      <x:c r="J181"/>
      <x:c r="K181" s="59" t="n"/>
      <x:c r="L181" s="59" t="n"/>
      <x:c r="M181" s="59" t="n"/>
      <x:c r="N181" s="59" t="n"/>
      <x:c r="O181" s="59" t="n"/>
      <x:c r="P181" s="59" t="n"/>
      <x:c r="Q181" s="59" t="n"/>
    </x:row>
    <x:row r="182">
      <x:c r="A182"/>
      <x:c r="B182"/>
      <x:c r="C182"/>
      <x:c r="D182"/>
      <x:c r="E182"/>
      <x:c r="F182"/>
      <x:c r="G182"/>
      <x:c r="H182"/>
      <x:c r="I182"/>
      <x:c r="J182"/>
      <x:c r="K182" s="59" t="n"/>
      <x:c r="L182" s="59" t="n"/>
      <x:c r="M182" s="59" t="n"/>
      <x:c r="N182" s="59" t="n"/>
      <x:c r="O182" s="59" t="n"/>
      <x:c r="P182" s="59" t="n"/>
      <x:c r="Q182" s="59" t="n"/>
    </x:row>
    <x:row r="183">
      <x:c r="A183"/>
      <x:c r="B183"/>
      <x:c r="C183"/>
      <x:c r="D183"/>
      <x:c r="E183"/>
      <x:c r="F183"/>
      <x:c r="G183"/>
      <x:c r="H183"/>
      <x:c r="I183"/>
      <x:c r="J183"/>
      <x:c r="K183" s="59" t="n"/>
      <x:c r="L183" s="59" t="n"/>
      <x:c r="M183" s="59" t="n"/>
      <x:c r="N183" s="59" t="n"/>
      <x:c r="O183" s="59" t="n"/>
      <x:c r="P183" s="59" t="n"/>
      <x:c r="Q183" s="59" t="n"/>
    </x:row>
    <x:row r="184">
      <x:c r="A184"/>
      <x:c r="B184"/>
      <x:c r="C184"/>
      <x:c r="D184"/>
      <x:c r="E184"/>
      <x:c r="F184"/>
      <x:c r="G184"/>
      <x:c r="H184"/>
      <x:c r="I184"/>
      <x:c r="J184"/>
      <x:c r="K184" s="59" t="n"/>
      <x:c r="L184" s="59" t="n"/>
      <x:c r="M184" s="59" t="n"/>
      <x:c r="N184" s="59" t="n"/>
      <x:c r="O184" s="59" t="n"/>
      <x:c r="P184" s="59" t="n"/>
      <x:c r="Q184" s="59" t="n"/>
    </x:row>
    <x:row r="185">
      <x:c r="A185"/>
      <x:c r="B185"/>
      <x:c r="C185"/>
      <x:c r="D185"/>
      <x:c r="E185"/>
      <x:c r="F185"/>
      <x:c r="G185"/>
      <x:c r="H185"/>
      <x:c r="I185"/>
      <x:c r="J185"/>
      <x:c r="K185" s="59" t="n"/>
      <x:c r="L185" s="59" t="n"/>
      <x:c r="M185" s="59" t="n"/>
      <x:c r="N185" s="59" t="n"/>
      <x:c r="O185" s="59" t="n"/>
      <x:c r="P185" s="59" t="n"/>
      <x:c r="Q185" s="59" t="n"/>
    </x:row>
    <x:row r="186">
      <x:c r="A186"/>
      <x:c r="B186"/>
      <x:c r="C186"/>
      <x:c r="D186"/>
      <x:c r="E186"/>
      <x:c r="F186"/>
      <x:c r="G186"/>
      <x:c r="H186"/>
      <x:c r="I186"/>
      <x:c r="J186"/>
      <x:c r="K186" s="59" t="n"/>
      <x:c r="L186" s="59" t="n"/>
      <x:c r="M186" s="59" t="n"/>
      <x:c r="N186" s="59" t="n"/>
      <x:c r="O186" s="59" t="n"/>
      <x:c r="P186" s="59" t="n"/>
      <x:c r="Q186" s="59" t="n"/>
    </x:row>
    <x:row r="187">
      <x:c r="A187"/>
      <x:c r="B187"/>
      <x:c r="C187"/>
      <x:c r="D187"/>
      <x:c r="E187"/>
      <x:c r="F187"/>
      <x:c r="G187"/>
      <x:c r="H187"/>
      <x:c r="I187"/>
      <x:c r="J187"/>
      <x:c r="K187" s="59" t="n"/>
      <x:c r="L187" s="59" t="n"/>
      <x:c r="M187" s="59" t="n"/>
      <x:c r="N187" s="59" t="n"/>
      <x:c r="O187" s="59" t="n"/>
      <x:c r="P187" s="59" t="n"/>
      <x:c r="Q187" s="59" t="n"/>
    </x:row>
    <x:row r="188">
      <x:c r="A188"/>
      <x:c r="B188"/>
      <x:c r="C188"/>
      <x:c r="D188"/>
      <x:c r="E188"/>
      <x:c r="F188"/>
      <x:c r="G188"/>
      <x:c r="H188"/>
      <x:c r="I188"/>
      <x:c r="J188"/>
      <x:c r="K188" s="59" t="n"/>
      <x:c r="L188" s="59" t="n"/>
      <x:c r="M188" s="59" t="n"/>
      <x:c r="N188" s="59" t="n"/>
      <x:c r="O188" s="59" t="n"/>
      <x:c r="P188" s="59" t="n"/>
      <x:c r="Q188" s="59" t="n"/>
    </x:row>
    <x:row r="189">
      <x:c r="A189"/>
      <x:c r="B189"/>
      <x:c r="C189"/>
      <x:c r="D189"/>
      <x:c r="E189"/>
      <x:c r="F189"/>
      <x:c r="G189"/>
      <x:c r="H189"/>
      <x:c r="I189"/>
      <x:c r="J189"/>
      <x:c r="K189" s="59" t="n"/>
      <x:c r="L189" s="59" t="n"/>
      <x:c r="M189" s="59" t="n"/>
      <x:c r="N189" s="59" t="n"/>
      <x:c r="O189" s="59" t="n"/>
      <x:c r="P189" s="59" t="n"/>
      <x:c r="Q189" s="59" t="n"/>
    </x:row>
    <x:row r="190">
      <x:c r="A190"/>
      <x:c r="B190"/>
      <x:c r="C190"/>
      <x:c r="D190"/>
      <x:c r="E190"/>
      <x:c r="F190"/>
      <x:c r="G190"/>
      <x:c r="H190"/>
      <x:c r="I190"/>
      <x:c r="J190"/>
      <x:c r="K190" s="59" t="n"/>
      <x:c r="L190" s="59" t="n"/>
      <x:c r="M190" s="59" t="n"/>
      <x:c r="N190" s="59" t="n"/>
      <x:c r="O190" s="59" t="n"/>
      <x:c r="P190" s="59" t="n"/>
      <x:c r="Q190" s="59" t="n"/>
    </x:row>
    <x:row r="191">
      <x:c r="A191"/>
      <x:c r="B191"/>
      <x:c r="C191"/>
      <x:c r="D191"/>
      <x:c r="E191"/>
      <x:c r="F191"/>
      <x:c r="G191"/>
      <x:c r="H191"/>
      <x:c r="I191"/>
      <x:c r="J191"/>
      <x:c r="K191" s="59" t="n"/>
      <x:c r="L191" s="59" t="n"/>
      <x:c r="M191" s="59" t="n"/>
      <x:c r="N191" s="59" t="n"/>
      <x:c r="O191" s="59" t="n"/>
      <x:c r="P191" s="59" t="n"/>
      <x:c r="Q191" s="59" t="n"/>
    </x:row>
    <x:row r="192">
      <x:c r="A192"/>
      <x:c r="B192"/>
      <x:c r="C192"/>
      <x:c r="D192"/>
      <x:c r="E192"/>
      <x:c r="F192"/>
      <x:c r="G192"/>
      <x:c r="H192"/>
      <x:c r="I192"/>
      <x:c r="J192"/>
      <x:c r="K192" s="59" t="n"/>
      <x:c r="L192" s="59" t="n"/>
      <x:c r="M192" s="59" t="n"/>
      <x:c r="N192" s="59" t="n"/>
      <x:c r="O192" s="59" t="n"/>
      <x:c r="P192" s="59" t="n"/>
      <x:c r="Q192" s="59" t="n"/>
    </x:row>
    <x:row r="193">
      <x:c r="A193"/>
      <x:c r="B193"/>
      <x:c r="C193"/>
      <x:c r="D193"/>
      <x:c r="E193"/>
      <x:c r="F193"/>
      <x:c r="G193"/>
      <x:c r="H193"/>
      <x:c r="I193"/>
      <x:c r="J193"/>
      <x:c r="K193" s="59" t="n"/>
      <x:c r="L193" s="59" t="n"/>
      <x:c r="M193" s="59" t="n"/>
      <x:c r="N193" s="59" t="n"/>
      <x:c r="O193" s="59" t="n"/>
      <x:c r="P193" s="59" t="n"/>
      <x:c r="Q193" s="59" t="n"/>
    </x:row>
    <x:row r="194">
      <x:c r="A194"/>
      <x:c r="B194"/>
      <x:c r="C194"/>
      <x:c r="D194"/>
      <x:c r="E194"/>
      <x:c r="F194"/>
      <x:c r="G194"/>
      <x:c r="H194"/>
      <x:c r="I194"/>
      <x:c r="J194"/>
      <x:c r="K194" s="59" t="n"/>
      <x:c r="L194" s="59" t="n"/>
      <x:c r="M194" s="59" t="n"/>
      <x:c r="N194" s="59" t="n"/>
      <x:c r="O194" s="59" t="n"/>
      <x:c r="P194" s="59" t="n"/>
      <x:c r="Q194" s="59" t="n"/>
    </x:row>
    <x:row r="195">
      <x:c r="A195"/>
      <x:c r="B195"/>
      <x:c r="C195"/>
      <x:c r="D195"/>
      <x:c r="E195"/>
      <x:c r="F195"/>
      <x:c r="G195"/>
      <x:c r="H195"/>
      <x:c r="I195"/>
      <x:c r="J195"/>
      <x:c r="K195" s="59" t="n"/>
      <x:c r="L195" s="59" t="n"/>
      <x:c r="M195" s="59" t="n"/>
      <x:c r="N195" s="59" t="n"/>
      <x:c r="O195" s="59" t="n"/>
      <x:c r="P195" s="59" t="n"/>
      <x:c r="Q195" s="59" t="n"/>
    </x:row>
    <x:row r="196">
      <x:c r="A196"/>
      <x:c r="B196"/>
      <x:c r="C196"/>
      <x:c r="D196"/>
      <x:c r="E196"/>
      <x:c r="F196"/>
      <x:c r="G196"/>
      <x:c r="H196"/>
      <x:c r="I196"/>
      <x:c r="J196"/>
      <x:c r="K196" s="59" t="n"/>
      <x:c r="L196" s="59" t="n"/>
      <x:c r="M196" s="59" t="n"/>
      <x:c r="N196" s="59" t="n"/>
      <x:c r="O196" s="59" t="n"/>
      <x:c r="P196" s="59" t="n"/>
      <x:c r="Q196" s="59" t="n"/>
    </x:row>
    <x:row r="197">
      <x:c r="A197"/>
      <x:c r="B197"/>
      <x:c r="C197"/>
      <x:c r="D197"/>
      <x:c r="E197"/>
      <x:c r="F197"/>
      <x:c r="G197"/>
      <x:c r="H197"/>
      <x:c r="I197"/>
      <x:c r="J197"/>
      <x:c r="K197" s="59" t="n"/>
      <x:c r="L197" s="59" t="n"/>
      <x:c r="M197" s="59" t="n"/>
      <x:c r="N197" s="59" t="n"/>
      <x:c r="O197" s="59" t="n"/>
      <x:c r="P197" s="59" t="n"/>
      <x:c r="Q197" s="59" t="n"/>
    </x:row>
    <x:row r="198">
      <x:c r="A198"/>
      <x:c r="B198"/>
      <x:c r="C198"/>
      <x:c r="D198"/>
      <x:c r="E198"/>
      <x:c r="F198"/>
      <x:c r="G198"/>
      <x:c r="H198"/>
      <x:c r="I198"/>
      <x:c r="J198"/>
      <x:c r="K198" s="59" t="n"/>
      <x:c r="L198" s="59" t="n"/>
      <x:c r="M198" s="59" t="n"/>
      <x:c r="N198" s="59" t="n"/>
      <x:c r="O198" s="59" t="n"/>
      <x:c r="P198" s="59" t="n"/>
      <x:c r="Q198" s="59" t="n"/>
    </x:row>
    <x:row r="199">
      <x:c r="A199"/>
      <x:c r="B199"/>
      <x:c r="C199"/>
      <x:c r="D199"/>
      <x:c r="E199"/>
      <x:c r="F199"/>
      <x:c r="G199"/>
      <x:c r="H199"/>
      <x:c r="I199"/>
      <x:c r="J199"/>
      <x:c r="K199" s="59" t="n"/>
      <x:c r="L199" s="59" t="n"/>
      <x:c r="M199" s="59" t="n"/>
      <x:c r="N199" s="59" t="n"/>
      <x:c r="O199" s="59" t="n"/>
      <x:c r="P199" s="59" t="n"/>
      <x:c r="Q199" s="59" t="n"/>
    </x:row>
    <x:row r="200">
      <x:c r="A200"/>
      <x:c r="B200"/>
      <x:c r="C200"/>
      <x:c r="D200"/>
      <x:c r="E200"/>
      <x:c r="F200"/>
      <x:c r="G200"/>
      <x:c r="H200"/>
      <x:c r="I200"/>
      <x:c r="J200"/>
      <x:c r="K200" s="59" t="n"/>
      <x:c r="L200" s="59" t="n"/>
      <x:c r="M200" s="59" t="n"/>
      <x:c r="N200" s="59" t="n"/>
      <x:c r="O200" s="59" t="n"/>
      <x:c r="P200" s="59" t="n"/>
      <x:c r="Q200" s="59" t="n"/>
    </x:row>
    <x:row r="201">
      <x:c r="A201"/>
      <x:c r="B201"/>
      <x:c r="C201"/>
      <x:c r="D201"/>
      <x:c r="E201"/>
      <x:c r="F201"/>
      <x:c r="G201"/>
      <x:c r="H201"/>
      <x:c r="I201"/>
      <x:c r="J201"/>
      <x:c r="K201" s="50" t="n"/>
      <x:c r="L201" s="50" t="n"/>
      <x:c r="M201" s="50" t="n"/>
      <x:c r="N201" s="50" t="n"/>
      <x:c r="O201" s="50" t="n"/>
      <x:c r="P201" s="50" t="n"/>
      <x:c r="Q201" s="50" t="n"/>
    </x:row>
  </x:sheetData>
  <x:mergeCells>
    <x:mergeCell ref="L4:Q4"/>
    <x:mergeCell ref="A1:J2"/>
    <x:mergeCell ref="L4:S4"/>
  </x:mergeCells>
  <x:dataValidations count="9">
    <x:dataValidation type="list" allowBlank="0" showDropDown="0" showInputMessage="0" showErrorMessage="0" sqref="D5:E200">
      <x:formula1>"Poor,Okay,Good,Low,Medium,High"</x:formula1>
    </x:dataValidation>
    <x:dataValidation type="list" sqref="D5:D7">
      <x:formula1>"Poor,Okay,Good,Excellent,Not recorded"</x:formula1>
    </x:dataValidation>
    <x:dataValidation type="list" sqref="E5:E7">
      <x:formula1>"Low,Medium,High,Not recorded"</x:formula1>
    </x:dataValidation>
    <x:dataValidation type="list" sqref="D5:D8">
      <x:formula1>"Poor,Okay,Good,Excellent,Not recorded"</x:formula1>
    </x:dataValidation>
    <x:dataValidation type="list" sqref="E5:E8">
      <x:formula1>"Low,Medium,High,Not recorded"</x:formula1>
    </x:dataValidation>
    <x:dataValidation type="list" sqref="D5:D9">
      <x:formula1>"Poor,Okay,Good,Excellent,Not recorded"</x:formula1>
    </x:dataValidation>
    <x:dataValidation type="list" sqref="E5:E9">
      <x:formula1>"Low,Medium,High,Not recorded"</x:formula1>
    </x:dataValidation>
    <x:dataValidation type="list" sqref="D5:D10">
      <x:formula1>"Poor,Okay,Good,Excellent,Not recorded"</x:formula1>
    </x:dataValidation>
    <x:dataValidation type="list" sqref="E5:E10">
      <x:formula1>"Low,Medium,High,Not recorded"</x:formula1>
    </x:dataValidation>
  </x:dataValidations>
  <x:pageMargins left="0.7" right="0.7" top="0.75" bottom="0.75" header="0.3" footer="0.3"/>
  <x:tableParts count="1">
    <x:tablePart xmlns:r="http://schemas.openxmlformats.org/officeDocument/2006/relationships" r:id="R2860e484e07a4b58"/>
  </x:tableParts>
</x:worksheet>
</file>

<file path=xl/worksheets/sheet6.xml><?xml version="1.0" encoding="utf-8"?>
<x:worksheet xmlns:x="http://schemas.openxmlformats.org/spreadsheetml/2006/main">
  <x:sheetFormatPr baseColWidth="8" defaultRowHeight="15"/>
  <x:cols>
    <x:col min="1" max="1" width="22" hidden="0" customWidth="1"/>
    <x:col min="2" max="2" width="50" hidden="0" customWidth="1"/>
    <x:col min="3" max="3" width="50" hidden="0" customWidth="1"/>
    <x:col min="4" max="4" width="50" hidden="0" customWidth="1"/>
  </x:cols>
  <x:sheetData>
    <x:row r="1">
      <x:c r="A1" s="168" t="inlineStr">
        <x:is>
          <x:t xml:space="preserve">Program Rules &amp; Trainer Notes</x:t>
        </x:is>
      </x:c>
      <x:c r="B1" s="169" t="n"/>
      <x:c r="C1" s="169" t="n"/>
      <x:c r="D1" s="169" t="n"/>
      <x:c r="E1" s="53" t="n"/>
      <x:c r="F1" s="53" t="n"/>
      <x:c r="G1" s="53" t="n"/>
      <x:c r="H1" s="53" t="n"/>
    </x:row>
    <x:row r="2">
      <x:c r="A2" s="53" t="n"/>
      <x:c r="B2" s="53" t="n"/>
      <x:c r="C2" s="53" t="n"/>
      <x:c r="D2" s="53" t="n"/>
      <x:c r="E2" s="53" t="n"/>
      <x:c r="F2" s="53" t="n"/>
      <x:c r="G2" s="53" t="n"/>
      <x:c r="H2" s="53" t="n"/>
    </x:row>
    <x:row r="3">
      <x:c r="A3" s="59" t="n"/>
      <x:c r="B3" s="59" t="n"/>
      <x:c r="C3" s="59" t="n"/>
      <x:c r="D3" s="59" t="n"/>
      <x:c r="E3" s="59" t="n"/>
      <x:c r="F3" s="59" t="n"/>
      <x:c r="G3" s="59" t="n"/>
      <x:c r="H3" s="59" t="n"/>
    </x:row>
    <x:row r="4" ht="15" hidden="0" customHeight="1">
      <x:c r="A4" s="219" t="inlineStr">
        <x:is>
          <x:t xml:space="preserve">Category</x:t>
        </x:is>
      </x:c>
      <x:c r="B4" s="219" t="inlineStr">
        <x:is>
          <x:t xml:space="preserve">Rule / Observation</x:t>
        </x:is>
      </x:c>
      <x:c r="C4" s="219" t="inlineStr">
        <x:is>
          <x:t xml:space="preserve">Why It Matters</x:t>
        </x:is>
      </x:c>
      <x:c r="D4" s="219" t="inlineStr">
        <x:is>
          <x:t xml:space="preserve">Action</x:t>
        </x:is>
      </x:c>
      <x:c r="E4" s="94" t="n"/>
      <x:c r="F4" s="94" t="n"/>
      <x:c r="G4" s="94" t="n"/>
      <x:c r="H4" s="94" t="n"/>
    </x:row>
    <x:row r="5" ht="15" hidden="0" customHeight="1">
      <x:c r="A5" t="str">
        <x:v>Progression</x:v>
      </x:c>
      <x:c r="B5" t="str">
        <x:v>Increase reps before weight</x:v>
      </x:c>
      <x:c r="C5" t="str">
        <x:v>Keeps form stable and makes progress measurable</x:v>
      </x:c>
      <x:c r="D5" t="str">
        <x:v>Move up only after top of rep range is clean</x:v>
      </x:c>
      <x:c r="E5" s="59" t="n"/>
      <x:c r="F5" s="59" t="n"/>
      <x:c r="G5" s="59" t="n"/>
      <x:c r="H5" s="59" t="n"/>
    </x:row>
    <x:row r="6" ht="15" hidden="0" customHeight="1">
      <x:c r="A6" t="str">
        <x:v>Chest volume</x:v>
      </x:c>
      <x:c r="B6" t="str">
        <x:v>Maximum 3 pressing movements per session</x:v>
      </x:c>
      <x:c r="C6" t="str">
        <x:v>4 presses caused mild side-deltoid soreness</x:v>
      </x:c>
      <x:c r="D6" t="str">
        <x:v>Use Plate Chest Press OR Decline Press, not both</x:v>
      </x:c>
      <x:c r="E6" s="59" t="n"/>
      <x:c r="F6" s="59" t="n"/>
      <x:c r="G6" s="59" t="n"/>
      <x:c r="H6" s="59" t="n"/>
    </x:row>
    <x:row r="7" ht="15" hidden="0" customHeight="1">
      <x:c r="A7" t="str">
        <x:v>Back volume</x:v>
      </x:c>
      <x:c r="B7" t="str">
        <x:v>Avoid too many rowing variations</x:v>
      </x:c>
      <x:c r="C7" t="str">
        <x:v>Lower-back stabilizers fatigue before target muscles</x:v>
      </x:c>
      <x:c r="D7" t="str">
        <x:v>Use Chest-Supported Row OR Iso-High Row when needed</x:v>
      </x:c>
      <x:c r="E7" s="59" t="n"/>
      <x:c r="F7" s="59" t="n"/>
      <x:c r="G7" s="59" t="n"/>
      <x:c r="H7" s="59" t="n"/>
    </x:row>
    <x:row r="8" ht="15" hidden="0" customHeight="1">
      <x:c r="A8" t="str">
        <x:v>Isolation work</x:v>
      </x:c>
      <x:c r="B8" t="str">
        <x:v>Form takes priority over load</x:v>
      </x:c>
      <x:c r="C8" t="str">
        <x:v>Heavy cable fly and concentration curl can shift tension away</x:v>
      </x:c>
      <x:c r="D8" t="str">
        <x:v>Reduce load if range or control breaks</x:v>
      </x:c>
      <x:c r="E8" s="59" t="n"/>
      <x:c r="F8" s="59" t="n"/>
      <x:c r="G8" s="59" t="n"/>
      <x:c r="H8" s="59" t="n"/>
    </x:row>
    <x:row r="9" ht="15" hidden="0" customHeight="1">
      <x:c r="A9" t="str">
        <x:v>Pain rule</x:v>
      </x:c>
      <x:c r="B9" t="str">
        <x:v>Muscle soreness is acceptable; joint/sharp pain is not</x:v>
      </x:c>
      <x:c r="C9" t="str">
        <x:v>Helps distinguish recovery from injury risk</x:v>
      </x:c>
      <x:c r="D9" t="str">
        <x:v>Stop or modify if pain becomes sharp, worsening, or joint-based</x:v>
      </x:c>
      <x:c r="E9" s="59" t="n"/>
      <x:c r="F9" s="59" t="n"/>
      <x:c r="G9" s="59" t="n"/>
      <x:c r="H9" s="59" t="n"/>
    </x:row>
    <x:row r="10" ht="15" hidden="0" customHeight="1">
      <x:c r="A10" t="str">
        <x:v>Deload</x:v>
      </x:c>
      <x:c r="B10" t="str">
        <x:v>Consider after 8–9 hard weeks</x:v>
      </x:c>
      <x:c r="C10" t="str">
        <x:v>Supports recovery and continued progress</x:v>
      </x:c>
      <x:c r="D10" t="str">
        <x:v>Reduce sets and load by 10–15% for one week</x:v>
      </x:c>
      <x:c r="E10" s="59" t="n"/>
      <x:c r="F10" s="59" t="n"/>
      <x:c r="G10" s="59" t="n"/>
      <x:c r="H10" s="59" t="n"/>
    </x:row>
    <x:row r="11" ht="15" hidden="0" customHeight="1">
      <x:c r="A11" t="str">
        <x:v>Body goal</x:v>
      </x:c>
      <x:c r="B11" t="str">
        <x:v>Track waist weekly, not just scale weight</x:v>
      </x:c>
      <x:c r="C11" t="str">
        <x:v>Muscle gain can mask fat loss on the scale</x:v>
      </x:c>
      <x:c r="D11" t="str">
        <x:v>Measure Sunday morning under consistent conditions</x:v>
      </x:c>
      <x:c r="E11" s="59" t="n"/>
      <x:c r="F11" s="59" t="n"/>
      <x:c r="G11" s="59" t="n"/>
      <x:c r="H11" s="59" t="n"/>
    </x:row>
    <x:row r="12" ht="15" hidden="0" customHeight="1">
      <x:c r="A12" t="str">
        <x:v>Conditioning</x:v>
      </x:c>
      <x:c r="B12" t="str">
        <x:v>Swimming 1–3 times weekly is useful</x:v>
      </x:c>
      <x:c r="C12" t="str">
        <x:v>Adds low-impact cardio and skill work</x:v>
      </x:c>
      <x:c r="D12" t="str">
        <x:v>Avoid hard swim immediately after intense upper-body day</x:v>
      </x:c>
      <x:c r="E12" s="59" t="n"/>
      <x:c r="F12" s="59" t="n"/>
      <x:c r="G12" s="59" t="n"/>
      <x:c r="H12" s="59" t="n"/>
    </x:row>
    <x:row r="13" ht="15" hidden="0" customHeight="1">
      <x:c r="A13" t="str">
        <x:v>Set classification</x:v>
      </x:c>
      <x:c r="B13" t="str">
        <x:v>Mark warm-up, working, back-off, drop, or assisted</x:v>
      </x:c>
      <x:c r="C13" t="str">
        <x:v>Set entries are not the same as effective training volume</x:v>
      </x:c>
      <x:c r="D13" t="str">
        <x:v>Count working sets separately during review</x:v>
      </x:c>
    </x:row>
    <x:row r="14" ht="15" hidden="0" customHeight="1">
      <x:c r="A14" t="str">
        <x:v>Effort / RIR</x:v>
      </x:c>
      <x:c r="B14" t="str">
        <x:v>Record RIR on every future working set</x:v>
      </x:c>
      <x:c r="C14" t="str">
        <x:v>Allows progression without requiring failure</x:v>
      </x:c>
      <x:c r="D14" t="str">
        <x:v>Most working sets should finish with controlled technique</x:v>
      </x:c>
    </x:row>
    <x:row r="15" ht="15" hidden="0" customHeight="1">
      <x:c r="A15" t="str">
        <x:v>Body recomposition</x:v>
      </x:c>
      <x:c r="B15" t="str">
        <x:v>Use weekly average weight plus waist trend</x:v>
      </x:c>
      <x:c r="C15" t="str">
        <x:v>Single weigh-ins cannot show the direction reliably</x:v>
      </x:c>
      <x:c r="D15" t="str">
        <x:v>Review every Sunday under consistent conditions</x:v>
      </x:c>
    </x:row>
    <x:row r="16" ht="15" hidden="0" customHeight="1">
      <x:c r="A16" t="str">
        <x:v>Nutrition</x:v>
      </x:c>
      <x:c r="B16" t="str">
        <x:v>Protein target provisional pending verified health and diet inputs</x:v>
      </x:c>
      <x:c r="C16" t="str">
        <x:v>Must fit the confirmed vegetarian pattern</x:v>
      </x:c>
      <x:c r="D16" t="str">
        <x:v>Build the plan from confirmed foods and schedule</x:v>
      </x:c>
    </x:row>
    <x:row r="17" ht="15" hidden="0" customHeight="1">
      <x:c r="A17" t="str">
        <x:v>Readiness</x:v>
      </x:c>
      <x:c r="B17" t="str">
        <x:v>Use Green / Yellow / Red before training</x:v>
      </x:c>
      <x:c r="C17" t="str">
        <x:v>Adjusts load and volume to recovery and pain</x:v>
      </x:c>
      <x:c r="D17" t="str">
        <x:v>Stop for sharp, joint, worsening or radiating pain, weakness, or lost motion</x:v>
      </x:c>
    </x:row>
    <x:row r="18" ht="15" hidden="0" customHeight="1">
      <x:c r="A18" t="str">
        <x:v>Late caffeine / sleep</x:v>
      </x:c>
      <x:c r="B18" t="str">
        <x:v>Coffee is used before a ~21:00 session and bedtime is ~02:00</x:v>
      </x:c>
      <x:c r="C18" t="str">
        <x:v>Caffeine can reduce sleep even when total time in bed looks adequate</x:v>
      </x:c>
      <x:c r="D18" t="str">
        <x:v>Verify dose and EAA+ label; trial decaf/no late caffeine for 7-14 days and log sleep</x:v>
      </x:c>
    </x:row>
    <x:row r="19" ht="15" hidden="0" customHeight="1">
      <x:c r="A19" t="str">
        <x:v>Supplement verification</x:v>
      </x:c>
      <x:c r="B19" t="str">
        <x:v>Product names are recorded but exact labels and serving sizes are not</x:v>
      </x:c>
      <x:c r="C19" t="str">
        <x:v>Formulas and caffeine can vary by product/version</x:v>
      </x:c>
      <x:c r="D19" t="str">
        <x:v>Preserve as To verify until front/back labels are supplied</x:v>
      </x:c>
    </x:row>
    <x:row r="20" ht="15" hidden="0" customHeight="1">
      <x:c r="A20" t="str">
        <x:v>Nutrition evidence</x:v>
      </x:c>
      <x:c r="B20" t="str">
        <x:v>Only 75 g/day is explicitly labeled in the reported meal plan</x:v>
      </x:c>
      <x:c r="C20" t="str">
        <x:v>Unquantified foods could materially change the total</x:v>
      </x:c>
      <x:c r="D20" t="str">
        <x:v>Do not calculate total protein or calories until portions are supplied</x:v>
      </x:c>
    </x:row>
    <x:row r="21" ht="15" hidden="0" customHeight="1">
      <x:c r="A21" t="str">
        <x:v>Sunday check-in</x:v>
      </x:c>
      <x:c r="B21" t="str">
        <x:v>Use post-bathroom, pre-food morning conditions</x:v>
      </x:c>
      <x:c r="C21" t="str">
        <x:v>Consistency makes weight and waist trends interpretable</x:v>
      </x:c>
      <x:c r="D21" t="str">
        <x:v>Record weight and waist at the navel on 2026-08-09, then weekly</x:v>
      </x:c>
    </x:row>
    <x:row r="22" ht="15" hidden="0" customHeight="1">
      <x:c r="A22" t="str">
        <x:v>Shoulders baseline</x:v>
      </x:c>
      <x:c r="B22" t="str">
        <x:v>First tracked Shoulder session is still pending after Legs</x:v>
      </x:c>
      <x:c r="C22" t="str">
        <x:v>Previous side-deltoid soreness makes readiness important</x:v>
      </x:c>
      <x:c r="D22" t="str">
        <x:v>Before training, report sleep, energy, soreness/pain, weakness and range of motion</x:v>
      </x:c>
    </x:row>
    <x:row r="23" ht="39.599998474121094" hidden="0" customHeight="1">
      <x:c r="A23" t="str">
        <x:v>EAA+ label verified</x:v>
      </x:c>
      <x:c r="B23" t="str">
        <x:v>MuscleTech EAA+ Energy provides 100 mg caffeine
and 7.49 g EAAs per 13.2 g scoop</x:v>
      </x:c>
      <x:c r="C23" t="str">
        <x:v>Using it at ~21:00 while also taking coffee
creates avoidable late stimulant stacking</x:v>
      </x:c>
      <x:c r="D23" t="str">
        <x:v>Do not combine it with pre-workout coffee;
prefer caffeine-free intra-workout hydration;
run a 7-14-day sleep trial</x:v>
      </x:c>
    </x:row>
    <x:row r="24" ht="15" hidden="0" customHeight="1">
      <x:c r="A24" t="str">
        <x:v>Shoulder baseline volume</x:v>
      </x:c>
      <x:c r="B24" t="str">
        <x:v>Keep all six familiar exercises but reduce the next Shoulder session to about 15 working sets</x:v>
      </x:c>
      <x:c r="C24" t="str">
        <x:v>The baseline used 19 working entries, five RIR 0 sets, several RIR 1 sets, and finishing energy fell to Low-Medium</x:v>
      </x:c>
      <x:c r="D24" t="str">
        <x:v>Use 3 press, 3 dumbbell lateral, 3 reverse pec deck, 2 face pull, 2 cable lateral and 2 shrug sets; mostly RIR 2</x:v>
      </x:c>
    </x:row>
    <x:row r="25" ht="15" hidden="0" customHeight="1">
      <x:c r="A25" t="str">
        <x:v>Triceps readiness after Shoulders</x:v>
      </x:c>
      <x:c r="B25" t="str">
        <x:v>Check shoulder/triceps soreness, sleep, energy and joint pain before the next-day Triceps session</x:v>
      </x:c>
      <x:c r="C25" t="str">
        <x:v>High Shoulder effort may affect pressing stability and overhead triceps work even though this session was pain-free</x:v>
      </x:c>
      <x:c r="D25" t="str">
        <x:v>Proceed only if pain-free and readiness is acceptable; reduce or modify overhead work if the deltoid is sore</x:v>
      </x:c>
    </x:row>
    <x:row r="26" ht="15" hidden="0" customHeight="1">
      <x:c r="A26" t="str">
        <x:v>No-coffee trial - session 1</x:v>
      </x:c>
      <x:c r="B26" t="str">
        <x:v>Vipin reported equal workout energy after omitting black coffee while using one full EAA+ Energy scoop</x:v>
      </x:c>
      <x:c r="C26" t="str">
        <x:v>This suggests the coffee may not be needed for perceived workout energy, but the EAA+ still supplied 100 mg caffeine</x:v>
      </x:c>
      <x:c r="D26" t="str">
        <x:v>Record sleep onset, awakenings, sleep quality and morning freshness; keep the next test conditions consistent</x:v>
      </x:c>
    </x:row>
    <x:row r="27" ht="15" hidden="0" customHeight="1">
      <x:c r="A27" t="str">
        <x:v>No-coffee trial - sleep outcome 1</x:v>
      </x:c>
      <x:c r="B27" t="str">
        <x:v>After no black coffee and one 100 mg EAA+ Energy serving, Vipin slept about 02:30-10:30 and reported very good, relaxing sleep with strong morning energy</x:v>
      </x:c>
      <x:c r="C27" t="str">
        <x:v>This is a favorable subjective result, but bedtime was deliberately delayed and it is only one night, so it does not prove late caffeine had no effect</x:v>
      </x:c>
      <x:c r="D27" t="str">
        <x:v>Continue without black coffee and record 3-7 comparable nights: sleep onset, awakenings, quality and morning freshness</x:v>
      </x:c>
    </x:row>
    <x:row r="28" ht="15" hidden="0" customHeight="1">
      <x:c r="A28" t="str">
        <x:v>Triceps baseline volume</x:v>
      </x:c>
      <x:c r="B28" t="str">
        <x:v>Vipin prefers six exercises with three sets each; cap the next session at exactly 18 working sets</x:v>
      </x:c>
      <x:c r="C28" t="str">
        <x:v>The baseline reached 20 working sets, 14 known RIR 1 sets and one drop set, although it remained pain-free</x:v>
      </x:c>
      <x:c r="D28" t="str">
        <x:v>No fourth sets or drop sets; keep most work at RIR 2-3 and reduce load when the target reserve is missed</x:v>
      </x:c>
    </x:row>
    <x:row r="29" ht="15" hidden="0" customHeight="1">
      <x:c r="A29" t="str">
        <x:v>Assisted dip progression</x:v>
      </x:c>
      <x:c r="B29" t="str">
        <x:v>Use the assisted dip machine rather than deep bench dips or fatigued bodyweight attempts</x:v>
      </x:c>
      <x:c r="C29" t="str">
        <x:v>Machine assistance allows controlled progression while limiting anterior-shoulder stress; higher support weight is easier</x:v>
      </x:c>
      <x:c r="D29" t="str">
        <x:v>Use 70 kg assistance for 3 x 10-12 at RIR 2; reduce assistance only after completing 3 x 12 at RIR 2</x:v>
      </x:c>
    </x:row>
    <x:row r="30" ht="15" hidden="0" customHeight="1">
      <x:c r="A30" t="str">
        <x:v>Sunday measurement baseline</x:v>
      </x:c>
      <x:c r="B30" t="str">
        <x:v>Use 88.8 kg and 99.1 cm waist as the first reported Sunday trend point; do not compare it directly with the 91.5 kg post-workout gym reading</x:v>
      </x:c>
      <x:c r="C30" t="str">
        <x:v>Scale, time, clothing, food, fluid and training conditions can create large short-term differences that are not fat change</x:v>
      </x:c>
      <x:c r="D30" t="str">
        <x:v>Collect at least three consistent morning weights when practical and repeat navel waist weekly; confirm bathroom/pre-food protocol</x:v>
      </x:c>
    </x:row>
    <x:row r="31" ht="15" hidden="0" customHeight="1">
      <x:c r="A31" t="str">
        <x:v>Waist versus trouser size</x:v>
      </x:c>
      <x:c r="B31" t="str">
        <x:v>A 39 in navel measurement can coexist with size-34 trousers</x:v>
      </x:c>
      <x:c r="C31" t="str">
        <x:v>Trousers commonly sit below the navel and labelled sizes may differ from actual garment circumference because of cut, stretch and vanity sizing</x:v>
      </x:c>
      <x:c r="D31" t="str">
        <x:v>Judge progress from the same anatomical navel measurement, not the clothing label</x:v>
      </x:c>
    </x:row>
    <x:row r="32" ht="15" hidden="0" customHeight="1">
      <x:c r="A32" t="str">
        <x:v>EAA serving routine confirmed</x:v>
      </x:c>
      <x:c r="B32" t="str">
        <x:v>Vipin reports always taking one full 13.2 g EAA+ Energy scoop per workout</x:v>
      </x:c>
      <x:c r="C32" t="str">
        <x:v>Each workout therefore includes 100 mg caffeine and 7.49 g EAAs from this product unless Vipin reports an exception</x:v>
      </x:c>
      <x:c r="D32" t="str">
        <x:v>Continue avoiding additional black coffee during the sleep trial and record any serving exception</x:v>
      </x:c>
    </x:row>
    <x:row r="33" ht="15" hidden="0" customHeight="1">
      <x:c r="A33" t="str">
        <x:v>Measurement protocol confirmed</x:v>
      </x:c>
      <x:c r="B33" t="str">
        <x:v>The 2026-08-09 readings of 88.8 kg and 99.1 cm were taken after using the bathroom and before food or drink</x:v>
      </x:c>
      <x:c r="C33" t="str">
        <x:v>This makes them suitable as the standardized first Sunday trend point, while the 91.5 kg post-workout gym reading remains non-comparable</x:v>
      </x:c>
      <x:c r="D33" t="str">
        <x:v>Repeat the same protocol weekly and use multiple morning weights for the weekly average</x:v>
      </x:c>
    </x:row>
    <x:row r="34" ht="15" hidden="0" customHeight="1">
      <x:c r="A34" t="str">
        <x:v>Muesli protein verified</x:v>
      </x:c>
      <x:c r="B34" t="str">
        <x:v>Kellogg's label gives 8.3 g protein per 100 g; the regular 60 g portion supplies 4.98 g. The submitted scale photo displays 61 g.</x:v>
      </x:c>
      <x:c r="C34" t="str">
        <x:v>The known daily protein floor rises from 75 g to 79.98 g, but milk, rotis, sabji, tofu, bread, lentils and other foods remain unquantified.</x:v>
      </x:c>
      <x:c r="D34" t="str">
        <x:v>Use the Protein Calculator; count about 31.0 g at breakfast before milk and preserve the complete daily total as To verify.</x:v>
      </x:c>
    </x:row>
    <x:row r="35" ht="39.599998474121094" hidden="0" customHeight="1">
      <x:c r="A35" t="str">
        <x:v>Milk, tofu and bread labels</x:v>
      </x:c>
      <x:c r="B35" t="str">
        <x:v>200 mL milk: approximately 6.0 g protein.
29 g tofu: 4.12 g protein.
Bread: 9.74 g/100 g; two-slice weight not explicit.</x:v>
      </x:c>
      <x:c r="C35" t="str">
        <x:v>Known minimum rises from 79.98 g to 90.10 g/day.
If two slices weigh 50 g, bread adds 4.87 g
and the provisional total becomes 94.97 g/day.</x:v>
      </x:c>
      <x:c r="D35" t="str">
        <x:v>Use 90.10 g as the current known minimum.
Keep 94.97 g conditional.
Weigh two bread slices once.</x:v>
      </x:c>
    </x:row>
    <x:row r="36" ht="39.599998474121094" hidden="0" customHeight="1">
      <x:c r="A36" t="str">
        <x:v>Bread serving confirmed</x:v>
      </x:c>
      <x:c r="B36" t="str">
        <x:v>Vipin confirmed two bread slices equal
one package serving: approximately 50 g.
Bread protein = 4.87 g.</x:v>
      </x:c>
      <x:c r="C36" t="str">
        <x:v>Tofu sandwich protein is now 8.99 g.
Quantified daily minimum rises
from 90.10 g to 94.97 g.</x:v>
      </x:c>
      <x:c r="D36" t="str">
        <x:v>Promote bread from conditional to verified.
Count 94.97 g/day as the current minimum.
Quantify cooked lentils next.</x:v>
      </x:c>
    </x:row>
    <x:row r="37" ht="39.599998474121094" hidden="0" customHeight="1">
      <x:c r="A37" t="str">
        <x:v>Roti serving verified</x:v>
      </x:c>
      <x:c r="B37" t="str">
        <x:v>270 g dry atta makes 8 rotis; Vipin eats 3.
Consumed dry-atta equivalent = 101.25 g.
Label protein = 10.5 g/100 g.</x:v>
      </x:c>
      <x:c r="C37" t="str">
        <x:v>Three rotis provide 10.63 g protein.
Quantified daily minimum rises
from 94.97 g to 105.60 g.</x:v>
      </x:c>
      <x:c r="D37" t="str">
        <x:v>Count 105.60 g/day as the current minimum.
Ghee amount/frequency remains To verify for calories.
Quantify cooked lentils next.</x:v>
      </x:c>
    </x:row>
    <x:row r="38" ht="90" hidden="0" customHeight="1">
      <x:c r="A38" s="325" t="str">
        <x:v>Rest-day caffeine-free sleep</x:v>
      </x:c>
      <x:c r="B38" s="325" t="str">
        <x:v>2026-08-09 was a rest day; no EAA+ was taken.
Sleep: ~23:30 to ~08:00 (~8.5 h).
Woke fresh on 2026-08-10.</x:v>
      </x:c>
      <x:c r="C38" s="325" t="str">
        <x:v>This is a favorable recovery datapoint and removes the product's 100 mg caffeine that night.
It does not isolate cause because rest status and bedtime choice also changed; other caffeine was not reconfirmed.</x:v>
      </x:c>
      <x:c r="D38" s="325" t="str">
        <x:v>Continue no extra black coffee.
Log 5-7 workout/rest nights with bedtime, wake time, awakenings and morning freshness before changing the EAA+ routine.</x:v>
      </x:c>
    </x:row>
    <x:row r="39" ht="44" customHeight="1">
      <x:c r="A39" s="170" t="str">
        <x:v>Effort cap</x:v>
      </x:c>
      <x:c r="B39" s="170" t="str">
        <x:v>Six exercises may remain, but most sessions should use about 15-18 direct working sets</x:v>
      </x:c>
      <x:c r="C39" s="170" t="str">
        <x:v>Repeated 19-22 set sessions ended with Low or Low-Medium energy</x:v>
      </x:c>
      <x:c r="D39" s="170" t="str">
        <x:v>Use three working sets per exercise as the default and remove fourth sets</x:v>
      </x:c>
    </x:row>
    <x:row r="40" ht="44" customHeight="1">
      <x:c r="A40" s="170" t="str">
        <x:v>Hyperextension progression</x:v>
      </x:c>
      <x:c r="B40" s="170" t="str">
        <x:v>The +20 kg set on 2026-08-17 reached RIR 0, required a pause and produced lower-back pump without pain</x:v>
      </x:c>
      <x:c r="C40" s="170" t="str">
        <x:v>It added fatigue without improving the next-session target</x:v>
      </x:c>
      <x:c r="D40" s="170" t="str">
        <x:v>Return to body weight and +10 kg only; finish at RIR 2 and stop for pain</x:v>
      </x:c>
    </x:row>
    <x:row r="41" ht="44" customHeight="1">
      <x:c r="A41" s="170" t="str">
        <x:v>No-coffee standing default</x:v>
      </x:c>
      <x:c r="B41" s="170" t="str">
        <x:v>Vipin now trains without additional black coffee while still taking one full caffeinated EAA+ scoop</x:v>
      </x:c>
      <x:c r="C41" s="170" t="str">
        <x:v>This removes unnecessary stimulant stacking but still leaves 100 mg caffeine late in the day</x:v>
      </x:c>
      <x:c r="D41" s="170" t="str">
        <x:v>Assume no coffee unless an exception is reported; continue sleep tracking</x:v>
      </x:c>
    </x:row>
    <x:row r="42" ht="44" customHeight="1">
      <x:c r="A42" s="170" t="str">
        <x:v>Yogurt protein update</x:v>
      </x:c>
      <x:c r="B42" s="170" t="str">
        <x:v>Lunch Epigamia Turbo yogurt is reported as 17 g protein; dinner flavored version as 15 g</x:v>
      </x:c>
      <x:c r="C42" s="170" t="str">
        <x:v>The quantified daily minimum rises by 8 g from 105.60 to 113.60 g</x:v>
      </x:c>
      <x:c r="D42" s="170" t="str">
        <x:v>Keep product labels and serving weights To verify; do not count unquantified lentils, sabji, fruit or salad yet</x:v>
      </x:c>
    </x:row>
    <x:row r="43" ht="46" customHeight="1">
      <x:c r="A43" s="170" t="str">
        <x:v>Chest volume cap applied</x:v>
      </x:c>
      <x:c r="B43" s="170" t="str">
        <x:v>The 2026-08-18 Chest session used exactly 15 direct sets plus three 60-second plank sets with no assistance</x:v>
      </x:c>
      <x:c r="C43" s="170" t="str">
        <x:v>Multiple exercises progressed while final energy still fell to Medium-Low</x:v>
      </x:c>
      <x:c r="D43" s="170" t="str">
        <x:v>Retain the 15-set chest cap, improve RIR before load, and keep core work separate</x:v>
      </x:c>
    </x:row>
    <x:row r="44" ht="48" customHeight="1">
      <x:c r="A44" s="170" t="str">
        <x:v>Second standardized Sunday check-in</x:v>
      </x:c>
      <x:c r="B44" s="170" t="str">
        <x:v>2026-08-16: 88.3 kg and 96.5 cm waist, measured after bathroom and before food/drink with abdomen relaxed and tape at navel</x:v>
      </x:c>
      <x:c r="C44" s="170" t="str">
        <x:v>Versus 2026-08-09: -0.5 kg and -2.6 cm; direction is favorable but one week is insufficient to attribute all change to fat loss</x:v>
      </x:c>
      <x:c r="D44" s="170" t="str">
        <x:v>Repeat identical protocol weekly and assess the multi-week trend</x:v>
      </x:c>
    </x:row>
    <x:row r="45" ht="48" customHeight="1">
      <x:c r="A45" s="170" t="str">
        <x:v>Biceps effort distribution improved</x:v>
      </x:c>
      <x:c r="B45" s="170" t="str">
        <x:v>2026-08-19 used exactly 18 working sets: 3 at RIR 3, 12 at RIR 2 and 3 at RIR 1; no RIR 0, assistance or body swing</x:v>
      </x:c>
      <x:c r="C45" s="170" t="str">
        <x:v>This is materially better controlled than the 2026-08-12 session, which had 20 sets, 16 at RIR 1 and one at RIR 0</x:v>
      </x:c>
      <x:c r="D45" s="170" t="str">
        <x:v>Keep the 18-set ceiling and use exactly three sets per exercise next time</x:v>
      </x:c>
    </x:row>
    <x:row r="46" ht="48" customHeight="1">
      <x:c r="A46" s="170" t="str">
        <x:v>Incline curl substitution</x:v>
      </x:c>
      <x:c r="B46" s="170" t="str">
        <x:v>Incline Dumbbell Curl replaced Cable Curl and established a clean 7.5-12.5 kg-each baseline without shoulder pain</x:v>
      </x:c>
      <x:c r="C46" s="170" t="str">
        <x:v>The lengthened-position curl was tolerated, while historical cable-curl performance remains preserved</x:v>
      </x:c>
      <x:c r="D46" s="170" t="str">
        <x:v>Keep incline curl in the active sequence; do not force the bottom stretch</x:v>
      </x:c>
    </x:row>
    <x:row r="47" ht="52" customHeight="1">
      <x:c r="A47" s="170" t="str">
        <x:v>Legs effort and fatigue</x:v>
      </x:c>
      <x:c r="B47" s="170" t="str">
        <x:v>2026-08-20 used exactly 18 sets: 13 at RIR 2, four at RIR 1 and one at RIR 0; final energy Low; duration 100 min</x:v>
      </x:c>
      <x:c r="C47" s="170" t="str">
        <x:v>Volume cap was respected, but one failure set and one assisted set kept effort too high</x:v>
      </x:c>
      <x:c r="D47" s="170" t="str">
        <x:v>Next Legs: no assisted repetitions, no RIR 0 work, and retain the 18-set ceiling</x:v>
      </x:c>
    </x:row>
    <x:row r="48" ht="52" customHeight="1">
      <x:c r="A48" s="170" t="str">
        <x:v>RDL technique baseline</x:v>
      </x:c>
      <x:c r="B48" s="170" t="str">
        <x:v>Dumbbell RDL at 12.5-15 kg each produced more lower-back sensation than hamstring tension; post-session back feeling was a normal pump, not pain</x:v>
      </x:c>
      <x:c r="C48" s="170" t="str">
        <x:v>This is not a load-progression baseline because the intended muscle did not dominate</x:v>
      </x:c>
      <x:c r="D48" s="170" t="str">
        <x:v>Reset to 10 kg each after a wall-hinge drill; stop if the back dominates or hip pain appears</x:v>
      </x:c>
    </x:row>
    <x:row r="49" ht="52" customHeight="1">
      <x:c r="A49" s="170" t="str">
        <x:v>Hip pain follow-up</x:v>
      </x:c>
      <x:c r="B49" s="170" t="str">
        <x:v>A little hip pain was reported after the 2026-08-20 Legs workout; side, exact location, trigger and 0-10 severity remain To verify</x:v>
      </x:c>
      <x:c r="C49" s="170" t="str">
        <x:v>Do not infer a diagnosis or progress hip-loaded work until the symptom is characterized</x:v>
      </x:c>
      <x:c r="D49" s="170" t="str">
        <x:v>Collect details before Shoulders; modify or stop training if pain persists, worsens or affects walking</x:v>
      </x:c>
    </x:row>
    <x:row r="50" ht="52" customHeight="1">
      <x:c r="A50" s="170" t="str">
        <x:v>Shoulder performance progression</x:v>
      </x:c>
      <x:c r="B50" s="170" t="str">
        <x:v>2026-08-21 had 20 shoulder working sets: 5 at RIR 3, 11 at RIR 2 and 4 at RIR 1; no pain or assistance</x:v>
      </x:c>
      <x:c r="C50" s="170" t="str">
        <x:v>Press, reverse pec deck and lateral raises objectively progressed</x:v>
      </x:c>
      <x:c r="D50" s="170" t="str">
        <x:v>Keep loads; improve reserve before adding weight</x:v>
      </x:c>
    </x:row>
    <x:row r="51" ht="52" customHeight="1">
      <x:c r="A51" s="170" t="str">
        <x:v>Shoulder volume over cap</x:v>
      </x:c>
      <x:c r="B51" s="170" t="str">
        <x:v>Two experimental rear-delt sets raised direct shoulder volume from the planned 18 to 20 sets</x:v>
      </x:c>
      <x:c r="C51" s="170" t="str">
        <x:v>The experiment still counts as fatigue even though it is not in the active sequence</x:v>
      </x:c>
      <x:c r="D51" s="170" t="str">
        <x:v>Next Shoulders: exactly 18 working sets and no experimental extras</x:v>
      </x:c>
    </x:row>
    <x:row r="52" ht="52" customHeight="1">
      <x:c r="A52" s="170" t="str">
        <x:v>Cable shrug poor stimulus</x:v>
      </x:c>
      <x:c r="B52" s="170" t="str">
        <x:v>60-80 kg total-stack low-pulley cable shrugs produced low trap sensation; elbows tended to bend but were controlled</x:v>
      </x:c>
      <x:c r="C52" s="170" t="str">
        <x:v>Recorded numbers are not a useful progression target; cable geometry/effective resistance To verify</x:v>
      </x:c>
      <x:c r="D52" s="170" t="str">
        <x:v>Return to dumbbell shrugs or a dedicated shrug machine</x:v>
      </x:c>
    </x:row>
    <x:row r="53" ht="52" customHeight="1">
      <x:c r="A53" s="170" t="str">
        <x:v>Shoulder core and cardio finishers</x:v>
      </x:c>
      <x:c r="B53" s="170" t="str">
        <x:v>Completed 3 x 60-sec planks and 10 min at displayed speed 4 and 12% incline without pain</x:v>
      </x:c>
      <x:c r="C53" s="170" t="str">
        <x:v>The steep incline was conditioning, not easy recovery cardio, one day after Legs</x:v>
      </x:c>
      <x:c r="D53" s="170" t="str">
        <x:v>When recovery is the goal use an easier 3-4% incline; speed unit To verify</x:v>
      </x:c>
    </x:row>
    <x:row r="54" ht="52" customHeight="1">
      <x:c r="A54" s="170" t="str">
        <x:v>Delayed soreness follow-up</x:v>
      </x:c>
      <x:c r="B54" s="170" t="str">
        <x:v>Immediate shoulder pump was Low-Medium; delayed shoulder soreness remains To verify</x:v>
      </x:c>
      <x:c r="C54" s="170" t="str">
        <x:v>Immediate pump does not establish recovery readiness</x:v>
      </x:c>
      <x:c r="D54" s="170" t="str">
        <x:v>Check shoulder, hip and leg response the following morning before Triceps</x:v>
      </x:c>
    </x:row>
    <x:row r="55" ht="52" customHeight="1">
      <x:c r="A55" s="170" t="str">
        <x:v>Triceps performance and effort</x:v>
      </x:c>
      <x:c r="B55" s="170" t="str">
        <x:v>2026-08-22 used 19 working sets: 4 at RIR 3, 12 at RIR 2 and 3 at RIR 1; no failure, pain, forced reps or breakdown; duration 75 min</x:v>
      </x:c>
      <x:c r="C55" s="170" t="str">
        <x:v>Performance and time efficiency improved while direct volume fell from 20 to 19</x:v>
      </x:c>
      <x:c r="D55" s="170" t="str">
        <x:v>Keep loads; improve reserve; next session exactly 18 sets</x:v>
      </x:c>
    </x:row>
    <x:row r="56" ht="52" customHeight="1">
      <x:c r="A56" s="170" t="str">
        <x:v>Live volume adjustment</x:v>
      </x:c>
      <x:c r="B56" s="170" t="str">
        <x:v>A fourth rope set was followed by instructions to reduce overhead-dumbbell and dip work, but all three sets of each were completed</x:v>
      </x:c>
      <x:c r="C56" s="170" t="str">
        <x:v>All completed sets count toward fatigue and remain preserved; session finished one set above cap</x:v>
      </x:c>
      <x:c r="D56" s="170" t="str">
        <x:v>Follow live reductions; no fourth sets or replacement extras</x:v>
      </x:c>
    </x:row>
    <x:row r="57" ht="52" customHeight="1">
      <x:c r="A57" s="170" t="str">
        <x:v>Post-Triceps cardio decision</x:v>
      </x:c>
      <x:c r="B57" s="170" t="str">
        <x:v>Final energy was Low after 19 working sets; formal cardio and core were omitted</x:v>
      </x:c>
      <x:c r="C57" s="170" t="str">
        <x:v>Additional conditioning was unlikely to add useful benefit in this recovery state</x:v>
      </x:c>
      <x:c r="D57" s="170" t="str">
        <x:v>Resume cardio only when readiness and final energy support it</x:v>
      </x:c>
    </x:row>
    <x:row r="58" ht="52" customHeight="1">
      <x:c r="A58" s="170" t="str">
        <x:v>Temporary four-day training week</x:v>
      </x:c>
      <x:c r="B58" s="170" t="str">
        <x:v>Next week has only four available training days; exact days remain To verify</x:v>
      </x:c>
      <x:c r="C58" s="170" t="str">
        <x:v>Consolidate upper-body work while preserving Legs as a standalone priority session</x:v>
      </x:c>
      <x:c r="D58" s="170" t="str">
        <x:v>Provisional: Back+Biceps, Chest+Triceps, Legs, Shoulders+small arm finishers; confirm day spacing</x:v>
      </x:c>
    </x:row>
    <x:row r="59" ht="52" customHeight="1">
      <x:c r="A59" s="170" t="str">
        <x:v>Upcoming abdominal-fat phase</x:v>
      </x:c>
      <x:c r="B59" s="170" t="str">
        <x:v>From the following week, add structured core, progressive cardio, step tracking and quantified diet management while retaining resistance training</x:v>
      </x:c>
      <x:c r="C59" s="170" t="str">
        <x:v>Abdominal exercises strengthen the core, while waist reduction requires overall energy management and sustainable activity</x:v>
      </x:c>
      <x:c r="D59" s="170" t="str">
        <x:v>Collect exact day schedule, average steps and quantified meal portions before final calorie target</x:v>
      </x:c>
    </x:row>
    <x:row r="60" ht="52" customHeight="1">
      <x:c r="A60" s="170" t="str">
        <x:v>2026-08-23 body check-in</x:v>
      </x:c>
      <x:c r="B60" s="170" t="str">
        <x:v>87.7 kg and 38 in navel waist; repeated scale readings 87.6-87.7 before food/drink; bowel movement occurred around midnight rather than morning</x:v>
      </x:c>
      <x:c r="C60" s="170" t="str">
        <x:v>Current reading is reliable, but overnight change is not equivalent fat loss; protocol difference retained</x:v>
      </x:c>
      <x:c r="D60" s="170" t="str">
        <x:v>Use daily readings and seven-day average; do not change calories from one result</x:v>
      </x:c>
    </x:row>
    <x:row r="61" ht="52" customHeight="1">
      <x:c r="A61" s="170" t="str">
        <x:v>Egg introduction</x:v>
      </x:c>
      <x:c r="B61" s="170" t="str">
        <x:v>Vipin started eating eggs; exact amount, preparation and adherence To verify</x:v>
      </x:c>
      <x:c r="C61" s="170" t="str">
        <x:v>Recommended 2 whole eggs + 2 whites replacing the tofu sandwich, not added to every meal</x:v>
      </x:c>
      <x:c r="D61" s="170" t="str">
        <x:v>Keep quantified protein minimum unchanged until actual intake is confirmed</x:v>
      </x:c>
    </x:row>
    <x:row r="62" ht="52" customHeight="1">
      <x:c r="A62" s="170" t="str">
        <x:v>Back + Biceps performance</x:v>
      </x:c>
      <x:c r="B62" s="170" t="str">
        <x:v>2026-08-24 completed 20 entries in 75 min; no pain, assistance or breakdown; most loads progressed or improved reserve</x:v>
      </x:c>
      <x:c r="C62" s="170" t="str">
        <x:v>Two RIR-3 preparation sets plus 18 working sets created about 20 meaningful sets</x:v>
      </x:c>
      <x:c r="D62" s="170" t="str">
        <x:v>Keep loads; improve reserve; combined-session ceiling is 18 meaningful sets</x:v>
      </x:c>
    </x:row>
    <x:row r="63" ht="52" customHeight="1">
      <x:c r="A63" s="170" t="str">
        <x:v>Combined-session volume adherence</x:v>
      </x:c>
      <x:c r="B63" s="170" t="str">
        <x:v>Extra 55 kg straight-arm set and unreduced incline/hammer sets were completed after live set reductions</x:v>
      </x:c>
      <x:c r="C63" s="170" t="str">
        <x:v>All work remains recorded, but unplanned sets do not justify progression and final energy fell to Low</x:v>
      </x:c>
      <x:c r="D63" s="170" t="str">
        <x:v>A live reduction replaces the earlier plan; stop when the revised set count is reached</x:v>
      </x:c>
    </x:row>
    <x:row r="64" ht="52" customHeight="1">
      <x:c r="A64" s="170" t="str">
        <x:v>Morning coffee plus EAA+</x:v>
      </x:c>
      <x:c r="B64" s="170" t="str">
        <x:v>Morning coffee was consumed and a full EAA+ scoop added 100 mg caffeine; coffee amount and time To verify</x:v>
      </x:c>
      <x:c r="C64" s="170" t="str">
        <x:v>Total daily caffeine cannot yet be quantified; timing may still affect sleep</x:v>
      </x:c>
      <x:c r="D64" s="170" t="str">
        <x:v>Record coffee amount/time and next-morning sleep quality</x:v>
      </x:c>
    </x:row>
    <x:row r="65" ht="52" customHeight="1">
      <x:c r="A65" s="170" t="str">
        <x:v>Chest + Triceps performance</x:v>
      </x:c>
      <x:c r="B65" s="170" t="str">
        <x:v>2026-08-25 completed 20 entries in 75 min; incline and established loads progressed; no pain, assistance or breakdown</x:v>
      </x:c>
      <x:c r="C65" s="170" t="str">
        <x:v>One RIR-0 flat-bench set and Low final energy limit progression credit</x:v>
      </x:c>
      <x:c r="D65" s="170" t="str">
        <x:v>Keep loads; next combined session exactly 18 meaningful sets and no failure</x:v>
      </x:c>
    </x:row>
    <x:row r="66" ht="52" customHeight="1">
      <x:c r="A66" s="170" t="str">
        <x:v>Repeated live-volume non-adherence</x:v>
      </x:c>
      <x:c r="B66" s="170" t="str">
        <x:v>Plate press, pec deck and overhead rope exceeded revised live limits; session reached 19 meaningful sets</x:v>
      </x:c>
      <x:c r="C66" s="170" t="str">
        <x:v>All completed work remains in history, but unplanned sets and loads do not justify progression</x:v>
      </x:c>
      <x:c r="D66" s="170" t="str">
        <x:v>A live reduction replaces the earlier plan; stop at the revised count</x:v>
      </x:c>
    </x:row>
    <x:row r="67" ht="52" customHeight="1">
      <x:c r="A67" s="170" t="str">
        <x:v>Pec-deck upper-biceps pump</x:v>
      </x:c>
      <x:c r="B67" s="170" t="str">
        <x:v>Strong upper-biceps/upper-arm pump likely triggered by pec deck; explicitly not painful; exact side To verify</x:v>
      </x:c>
      <x:c r="C67" s="170" t="str">
        <x:v>Likely technique/fatigue signal rather than injury based on current report</x:v>
      </x:c>
      <x:c r="D67" s="170" t="str">
        <x:v>Relax grip, drive elbows, omit 60 kg; confirm resolution before next upper session</x:v>
      </x:c>
    </x:row>
    <x:row r="68" ht="52" customHeight="1">
      <x:c r="A68" s="170" t="str">
        <x:v>Failure exposure</x:v>
      </x:c>
      <x:c r="B68" s="170" t="str">
        <x:v>Flat bench 22.5 kg/side x 8 reached RIR 0</x:v>
      </x:c>
      <x:c r="C68" s="170" t="str">
        <x:v>Rep target was reached without assistance but reserve target was missed</x:v>
      </x:c>
      <x:c r="D68" s="170" t="str">
        <x:v>Keep load; require RIR 1-2 and no assisted repetition before progression</x:v>
      </x:c>
    </x:row>
    <x:row r="69" ht="52" customHeight="1">
      <x:c r="A69" s="170" t="str">
        <x:v>Shoulders + Biceps performance</x:v>
      </x:c>
      <x:c r="B69" s="170" t="str">
        <x:v>2026-08-26 completed one warm-up plus exactly 18 working sets in 75 min; no pain, assistance, breakdown or RIR 0</x:v>
      </x:c>
      <x:c r="C69" s="170" t="str">
        <x:v>Press, lateral raise and curl performance improved, but final energy fell from Medium to Low</x:v>
      </x:c>
      <x:c r="D69" s="170" t="str">
        <x:v>Keep volume fixed; no load expansion from unplanned sets</x:v>
      </x:c>
    </x:row>
    <x:row r="70" ht="52" customHeight="1">
      <x:c r="A70" s="170" t="str">
        <x:v>Equipment-driven schedule swap</x:v>
      </x:c>
      <x:c r="B70" s="170" t="str">
        <x:v>Leg machines were busy, so Day 3 changed from Legs to Shoulders + Biceps</x:v>
      </x:c>
      <x:c r="C70" s="170" t="str">
        <x:v>The swap preserved the four available training days without waiting or mixing body-part sessions</x:v>
      </x:c>
      <x:c r="D70" s="170" t="str">
        <x:v>Legs becomes Day 4 after fresh lower-body readiness</x:v>
      </x:c>
    </x:row>
    <x:row r="71" ht="52" customHeight="1">
      <x:c r="A71" s="170" t="str">
        <x:v>Live volume correction followed</x:v>
      </x:c>
      <x:c r="B71" s="170" t="str">
        <x:v>Two reverse-facing rear-delt sets replaced reverse pec deck, and the requested extra 15 kg curl was omitted</x:v>
      </x:c>
      <x:c r="C71" s="170" t="str">
        <x:v>The unplanned fourth shoulder-press set did not push the session above 18 working sets</x:v>
      </x:c>
      <x:c r="D71" s="170" t="str">
        <x:v>Continue treating live reductions as final</x:v>
      </x:c>
    </x:row>
    <x:row r="72" ht="52" customHeight="1">
      <x:c r="A72" s="170" t="str">
        <x:v>Unplanned upper-body loads</x:v>
      </x:c>
      <x:c r="B72" s="170" t="str">
        <x:v>25 kg shoulder press x 8 @ RIR 1 and 60 kg upright row x 9 @ RIR 2 were clean but above plan</x:v>
      </x:c>
      <x:c r="C72" s="170" t="str">
        <x:v>Low final energy and prior volume pattern make these insufficient progression evidence</x:v>
      </x:c>
      <x:c r="D72" s="170" t="str">
        <x:v>Return to the prescribed ranges next time</x:v>
      </x:c>
    </x:row>
    <x:row r="73" ht="52" customHeight="1">
      <x:c r="A73" s="170" t="str">
        <x:v>Third consecutive Low final energy</x:v>
      </x:c>
      <x:c r="B73" s="170" t="str">
        <x:v>2026-08-24, 2026-08-25 and 2026-08-26 resistance sessions all ended with Low energy</x:v>
      </x:c>
      <x:c r="C73" s="170" t="str">
        <x:v>Performance is improving, but accumulated fatigue is becoming consistent</x:v>
      </x:c>
      <x:c r="D73" s="170" t="str">
        <x:v>Keep Legs at 18 sets, avoid RIR 0/assistance, then schedule recovery</x:v>
      </x:c>
    </x:row>
    <x:row r="74" ht="52" customHeight="1">
      <x:c r="A74" s="170" t="str">
        <x:v>Legs performance</x:v>
      </x:c>
      <x:c r="B74" s="170" t="str">
        <x:v>2026-08-27 completed exactly 18 working sets in 90 min; no pain or RIR 0; final energy Low</x:v>
      </x:c>
      <x:c r="C74" s="170" t="str">
        <x:v>Hack squat reserve, RDL targeting, leg extension and calf reserve improved</x:v>
      </x:c>
      <x:c r="D74" s="170" t="str">
        <x:v>Keep loads controlled; recovery/rest next</x:v>
      </x:c>
    </x:row>
    <x:row r="75" ht="52" customHeight="1">
      <x:c r="A75" s="170" t="str">
        <x:v>RDL technique improvement</x:v>
      </x:c>
      <x:c r="B75" s="170" t="str">
        <x:v>10-15 kg each for 15/12/10 reps at RIR 2; hamstrings dominated and no pain occurred</x:v>
      </x:c>
      <x:c r="C75" s="170" t="str">
        <x:v>This is a meaningful improvement from the prior lower-back-dominant baseline</x:v>
      </x:c>
      <x:c r="D75" s="170" t="str">
        <x:v>Keep the same range; stop if the lower back or hip becomes dominant</x:v>
      </x:c>
    </x:row>
    <x:row r="76" ht="52" customHeight="1">
      <x:c r="A76" s="170" t="str">
        <x:v>Leg-press assistance</x:v>
      </x:c>
      <x:c r="B76" s="170" t="str">
        <x:v>160 kg produced five clean plus two human-assisted reps at RIR 1</x:v>
      </x:c>
      <x:c r="C76" s="170" t="str">
        <x:v>Assisted repetitions do not earn progression and added fatigue</x:v>
      </x:c>
      <x:c r="D76" s="170" t="str">
        <x:v>Next Legs use 100, 120 and 140 kg only; require 140 kg x 10 @ RIR 2</x:v>
      </x:c>
    </x:row>
    <x:row r="77" ht="52" customHeight="1">
      <x:c r="A77" s="170" t="str">
        <x:v>Historical leg-press load discrepancy</x:v>
      </x:c>
      <x:c r="B77" s="170" t="str">
        <x:v>Vipin reported that the prior leg-press loads were 140/160 kg, while the canonical 2026-08-20 entry records 130/150 kg</x:v>
      </x:c>
      <x:c r="C77" s="170" t="str">
        <x:v>History must not be silently rewritten when the two reports conflict</x:v>
      </x:c>
      <x:c r="D77" s="170" t="str">
        <x:v>Preserve the old entry and mark the discrepancy To verify against the machine increments or contemporaneous evidence</x:v>
      </x:c>
    </x:row>
    <x:row r="78" ht="52" customHeight="1">
      <x:c r="A78" s="170" t="str">
        <x:v>Temporary four-day week complete</x:v>
      </x:c>
      <x:c r="B78" s="170" t="str">
        <x:v>Back+Biceps, Chest+Triceps, Shoulders+Biceps and Legs were completed on 2026-08-24 through 2026-08-27</x:v>
      </x:c>
      <x:c r="C78" s="170" t="str">
        <x:v>Four consecutive resistance sessions ended with Low final energy</x:v>
      </x:c>
      <x:c r="D78" s="170" t="str">
        <x:v>Use immediate recovery/rest before the next resistance session; do not add compensatory cardio</x:v>
      </x:c>
    </x:row>
    <x:row r="79" ht="52" customHeight="1">
      <x:c r="A79" s="170" t="str">
        <x:v>Live set-ceiling adjustment followed</x:v>
      </x:c>
      <x:c r="B79" s="170" t="str">
        <x:v>Four leg-press sets and three RDL sets were completed; calf work was reduced to two sets</x:v>
      </x:c>
      <x:c r="C79" s="170" t="str">
        <x:v>The adjustment preserved exactly 18 working sets without deleting completed work</x:v>
      </x:c>
      <x:c r="D79" s="170" t="str">
        <x:v>Next Legs pre-plan three leg-press and three calf sets</x:v>
      </x:c>
    </x:row>
    <x:row r="80" ht="56" customHeight="1">
      <x:c r="A80" s="170" t="str">
        <x:v>Six-day two-body-part split adopted</x:v>
      </x:c>
      <x:c r="B80" s="170" t="str">
        <x:v>Active sequence from 2026-08-31: Mon Chest+Triceps; Tue Back+Biceps; Wed Shoulders+Triceps; Thu Legs+Calves; Fri Chest+Shoulders; Sat Back+Biceps; Sun rest</x:v>
      </x:c>
      <x:c r="C80" s="170" t="str">
        <x:v>Upper body and arms receive two weekly exposures; Legs remains one dedicated high-quality day by user preference</x:v>
      </x:c>
      <x:c r="D80" s="170" t="str">
        <x:v>Run the block for four weeks; keep daily resistance volume at or below 18 working sets</x:v>
      </x:c>
    </x:row>
    <x:row r="81" ht="56" customHeight="1">
      <x:c r="A81" s="170" t="str">
        <x:v>Chest + Triceps performance</x:v>
      </x:c>
      <x:c r="B81" s="170" t="str">
        <x:v>2026-08-31 completed 17 working sets plus one warm-up with no pain, RIR 0, human assistance or form breakdown</x:v>
      </x:c>
      <x:c r="C81" s="170" t="str">
        <x:v>Flat, incline, pec deck and pushdown reserve improved after the travel break</x:v>
      </x:c>
      <x:c r="D81" s="170" t="str">
        <x:v>Keep progression rep-led and preserve RIR 2 before adding load</x:v>
      </x:c>
    </x:row>
    <x:row r="82" ht="56" customHeight="1">
      <x:c r="A82" s="170" t="str">
        <x:v>Overhead-rope volume deviation</x:v>
      </x:c>
      <x:c r="B82" s="170" t="str">
        <x:v>35 x13 @2, 40 x10 @2 and an extra 45 x8 @1 were completed although only two sets were prescribed</x:v>
      </x:c>
      <x:c r="C82" s="170" t="str">
        <x:v>The third set remains historical work but does not earn progression credit; final energy was Low</x:v>
      </x:c>
      <x:c r="D82" s="170" t="str">
        <x:v>Next Monday use exactly two overhead-rope sets and stop at the revised count</x:v>
      </x:c>
    </x:row>
    <x:row r="83" ht="56" customHeight="1">
      <x:c r="A83" s="170" t="str">
        <x:v>Fat-loss cardio baseline</x:v>
      </x:c>
      <x:c r="B83" s="170" t="str">
        <x:v>15 min treadmill at 12% incline; speed reported as 3-4 mph range; no pain; final energy Low</x:v>
      </x:c>
      <x:c r="C83" s="170" t="str">
        <x:v>Useful conditioning dose, but both exact speed and treadmill calibration remain To verify</x:v>
      </x:c>
      <x:c r="D83" s="170" t="str">
        <x:v>Do not increase incline, speed or duration next time; perform post-lift cardio only when final energy is Medium or higher</x:v>
      </x:c>
    </x:row>
    <x:row r="84" ht="56" customHeight="1">
      <x:c r="A84" s="170" t="str">
        <x:v>Creatine status</x:v>
      </x:c>
      <x:c r="B84" s="170" t="str">
        <x:v>Creatine monohydrate had not started as of 2026-08-31</x:v>
      </x:c>
      <x:c r="C84" s="170" t="str">
        <x:v>Current performance and body-weight trends are pre-creatine baselines</x:v>
      </x:c>
      <x:c r="D84" s="170" t="str">
        <x:v>Verify product label and actual start date before attributing any scale change to creatine</x:v>
      </x:c>
    </x:row>
    <x:row r="85" ht="60" customHeight="1">
      <x:c r="A85" s="170" t="str">
        <x:v>Back + Biceps performance</x:v>
      </x:c>
      <x:c r="B85" s="170" t="str">
        <x:v>2026-09-01 completed exactly 16 working sets plus three genuine preparation sets; no pain, RIR 0, assistance or form breakdown</x:v>
      </x:c>
      <x:c r="C85" s="170" t="str">
        <x:v>Lat pulldown and seated cable row progressed cleanly; final energy was Low</x:v>
      </x:c>
      <x:c r="D85" s="170" t="str">
        <x:v>Keep progression rep-led and maintain routine RIR 2-3</x:v>
      </x:c>
    </x:row>
    <x:row r="86" ht="60" customHeight="1">
      <x:c r="A86" s="170" t="str">
        <x:v>Duplicate horizontal-row substitution</x:v>
      </x:c>
      <x:c r="B86" s="170" t="str">
        <x:v>Both a new chest-supported T-bar machine and the established chest-supported-row machine were used; straight-arm pulldown was omitted</x:v>
      </x:c>
      <x:c r="C86" s="170" t="str">
        <x:v>Working-set ceiling was preserved, but duplicate rowing displaced shoulder-extension work</x:v>
      </x:c>
      <x:c r="D86" s="170" t="str">
        <x:v>Next Back day use only one chest-supported-row variation and restore straight-arm pulldown</x:v>
      </x:c>
    </x:row>
    <x:row r="87" ht="60" customHeight="1">
      <x:c r="A87" s="170" t="str">
        <x:v>T-bar machine baseline</x:v>
      </x:c>
      <x:c r="B87" s="170" t="str">
        <x:v>30 x12 @2, 40 x10 @1 and 40 x10 @1 on a different chest-supported T-bar machine</x:v>
      </x:c>
      <x:c r="C87" s="170" t="str">
        <x:v>Load basis and machine starting resistance are To verify; two sets were too close to failure</x:v>
      </x:c>
      <x:c r="D87" s="170" t="str">
        <x:v>Next use 30/approximately 35/40 kg at RIR 3/2/2 only if the established machine is unavailable</x:v>
      </x:c>
    </x:row>
    <x:row r="88" ht="60" customHeight="1">
      <x:c r="A88" s="170" t="str">
        <x:v>Fat-loss cardio progression</x:v>
      </x:c>
      <x:c r="B88" s="170" t="str">
        <x:v>20 min treadmill at 3 km/h and 12% incline; no pain, dizziness or unusual breathlessness; machine display reported as '200k'</x:v>
      </x:c>
      <x:c r="C88" s="170" t="str">
        <x:v>First full 20-min dose completed; approximately 200 kcal remains only a machine estimate To verify; final energy Low</x:v>
      </x:c>
      <x:c r="D88" s="170" t="str">
        <x:v>Next comparable session use 20 min at 8-10% incline; do not eat back machine calories</x:v>
      </x:c>
    </x:row>
    <x:row r="89" ht="60" customHeight="1">
      <x:c r="A89" s="170" t="str">
        <x:v>Shoulders + Triceps performance</x:v>
      </x:c>
      <x:c r="B89" s="170" t="str">
        <x:v>2026-09-02 completed 19 working sets plus one genuine preparation set; all working sets ended at RIR 2-3 with no pain, assistance or form breakdown</x:v>
      </x:c>
      <x:c r="C89" s="170" t="str">
        <x:v>Strength and reserve progressed without failure exposure</x:v>
      </x:c>
      <x:c r="D89" s="170" t="str">
        <x:v>Retain loads and make the next session exactly 15 working sets</x:v>
      </x:c>
    </x:row>
    <x:row r="90" ht="60" customHeight="1">
      <x:c r="A90" s="170" t="str">
        <x:v>Resistance-volume ceiling exceeded</x:v>
      </x:c>
      <x:c r="B90" s="170" t="str">
        <x:v>The session exceeded the planned 15 working sets by four and the absolute 18-set ceiling by one</x:v>
      </x:c>
      <x:c r="C90" s="170" t="str">
        <x:v>This was the third consecutive training day and final energy fell to Medium-Low</x:v>
      </x:c>
      <x:c r="D90" s="170" t="str">
        <x:v>Completed sets remain historical fatigue but do not earn automatic load or volume progression</x:v>
      </x:c>
    </x:row>
    <x:row r="91" ht="60" customHeight="1">
      <x:c r="A91" s="170" t="str">
        <x:v>Shoulder progression baselines</x:v>
      </x:c>
      <x:c r="B91" s="170" t="str">
        <x:v>25 kg shoulder press x9 @2, 7.5 kg/side lateral raise x8 @2 and 40 kg reverse pec deck x9 @2</x:v>
      </x:c>
      <x:c r="C91" s="170" t="str">
        <x:v>All were pain-free, but some occurred beyond live volume reductions</x:v>
      </x:c>
      <x:c r="D91" s="170" t="str">
        <x:v>Build reps at the same loads within the 15-set structure</x:v>
      </x:c>
    </x:row>
    <x:row r="92" ht="60" customHeight="1">
      <x:c r="A92" s="170" t="str">
        <x:v>Shoulders-day cardio</x:v>
      </x:c>
      <x:c r="B92" s="170" t="str">
        <x:v>20 min treadmill at 3.5 km/h and 12% incline without rail support or symptoms</x:v>
      </x:c>
      <x:c r="C92" s="170" t="str">
        <x:v>The cardio dose was completed, but the incline exceeded the 6-8% prescription and Legs follows</x:v>
      </x:c>
      <x:c r="D92" s="170" t="str">
        <x:v>No cardio progression; after Legs use only 5-10 min easy walking or omit it</x:v>
      </x:c>
    </x:row>
    <x:row r="93" ht="60" customHeight="1">
      <x:c r="A93" s="170" t="str">
        <x:v>Legs + Calves performance</x:v>
      </x:c>
      <x:c r="B93" s="170" t="str">
        <x:v>2026-09-03 completed exactly 18 working sets in 80 min with no pain, assistance, form breakdown or RIR 0</x:v>
      </x:c>
      <x:c r="C93" s="170" t="str">
        <x:v>The session preserved the absolute set ceiling and remained pain-free</x:v>
      </x:c>
      <x:c r="D93" s="170" t="str">
        <x:v>Keep loads stable and progress reps/reserve rather than adding load</x:v>
      </x:c>
    </x:row>
    <x:row r="94" ht="60" customHeight="1">
      <x:c r="A94" s="170" t="str">
        <x:v>Unassisted 160 kg leg press</x:v>
      </x:c>
      <x:c r="B94" s="170" t="str">
        <x:v>Seven repetitions at RIR 1 were completed without assistance after the prior five clean plus two assisted result</x:v>
      </x:c>
      <x:c r="C94" s="170" t="str">
        <x:v>Execution improved, but the set was an unplanned fourth press set and too close to failure</x:v>
      </x:c>
      <x:c r="D94" s="170" t="str">
        <x:v>Next Legs omit 160 kg and require 140 kg x10 @ RIR 2 before reconsidering it</x:v>
      </x:c>
    </x:row>
    <x:row r="95" ht="60" customHeight="1">
      <x:c r="A95" s="170" t="str">
        <x:v>RDL equipment substitution</x:v>
      </x:c>
      <x:c r="B95" s="170" t="str">
        <x:v>15 kg dumbbells were unavailable, so 17.5 kg each x9 @ RIR 2 was used; no pain but limited hamstring sensation</x:v>
      </x:c>
      <x:c r="C95" s="170" t="str">
        <x:v>The heavier load may reduce the intended hinge stimulus even when pain-free</x:v>
      </x:c>
      <x:c r="D95" s="170" t="str">
        <x:v>Return to 15 kg when available and verify hinge mechanics before progressing</x:v>
      </x:c>
    </x:row>
    <x:row r="96" ht="60" customHeight="1">
      <x:c r="A96" s="170" t="str">
        <x:v>Low final energy trend</x:v>
      </x:c>
      <x:c r="B96" s="170" t="str">
        <x:v>2026-09-03 ended Low after three earlier consecutive sessions ended Low or Medium-Low</x:v>
      </x:c>
      <x:c r="C96" s="170" t="str">
        <x:v>Accumulated fatigue can reduce performance quality despite pain-free sessions</x:v>
      </x:c>
      <x:c r="D96" s="170" t="str">
        <x:v>No compensatory cardio; require fresh readiness and no unplanned sets for Chest + Shoulders</x:v>
      </x:c>
    </x:row>
    <x:row r="97" ht="75" customHeight="1">
      <x:c r="A97" s="170" t="str">
        <x:v>Friday secondary-exposure correction</x:v>
      </x:c>
      <x:c r="B97" s="170" t="str">
        <x:v>Chest + Shoulders on 2026-09-04 used plate chest press, incline dumbbell press, low-to-high cable fly, cable upright row, face pull and dumbbell shrug</x:v>
      </x:c>
      <x:c r="C97" s="170" t="str">
        <x:v>This avoids simply repeating Monday chest and Wednesday shoulder sessions while preserving second weekly exposure</x:v>
      </x:c>
      <x:c r="D97" s="170" t="str">
        <x:v>Keep Friday as the B session; no direct shoulder press after Wednesday pressing unless the block is redesigned</x:v>
      </x:c>
    </x:row>
    <x:row r="98" ht="75" customHeight="1">
      <x:c r="A98" s="170" t="str">
        <x:v>Chest + Shoulders performance</x:v>
      </x:c>
      <x:c r="B98" s="170" t="str">
        <x:v>17 working sets plus three preparation sets completed pain-free; no RIR 1/0, assistance, breakdown or upright-row pinching</x:v>
      </x:c>
      <x:c r="C98" s="170" t="str">
        <x:v>Current incline-dumbbell, cable-fly and upright-row baselines progressed; final energy was Medium-Low</x:v>
      </x:c>
      <x:c r="D98" s="170" t="str">
        <x:v>Keep rep-led progression and remove one redundant cable-fly preparation set and the extra face-pull set next time</x:v>
      </x:c>
    </x:row>
    <x:row r="99" ht="75" customHeight="1">
      <x:c r="A99" s="170" t="str">
        <x:v>Creatine monohydrate started</x:v>
      </x:c>
      <x:c r="B99" s="170" t="str">
        <x:v>Vipin confirmed one stated 3 g scoop post-workout with whey on 2026-09-04</x:v>
      </x:c>
      <x:c r="C99" s="170" t="str">
        <x:v>Daily consistency matters more than workout timing; a small muscle-water scale increase must not be classified as fat gain</x:v>
      </x:c>
      <x:c r="D99" s="170" t="str">
        <x:v>Continue 3 g daily including rest days; product label and scoop accuracy To verify; NIH source https://ods.od.nih.gov/factsheets/ExerciseAndAthleticPerformance-HealthProfessional/</x:v>
      </x:c>
    </x:row>
    <x:row r="100" ht="75" customHeight="1">
      <x:c r="A100" s="170" t="str">
        <x:v>Caffeine routine changed</x:v>
      </x:c>
      <x:c r="B100" s="170" t="str">
        <x:v>2026-09-04 used half EAA+ (~50 mg label-derived) plus half pre-workout (~100 mg user-stated), no coffee; estimated total ~150 mg</x:v>
      </x:c>
      <x:c r="C100" s="170" t="str">
        <x:v>Only the EAA contribution is label-verified and late caffeine may worsen sleep despite acceptable daily totals</x:v>
      </x:c>
      <x:c r="D100" s="170" t="str">
        <x:v>Obtain full pre-workout label; prefer one caffeine source and monitor bedtime, sleep onset, awakenings and morning freshness; FDA source https://www.fda.gov/consumers/consumer-updates/spilling-beans-how-much-caffeine-too-much</x:v>
      </x:c>
    </x:row>
    <x:row r="101" ht="75" customHeight="1">
      <x:c r="A101" s="170" t="str">
        <x:v>Magnesium glycinate planned</x:v>
      </x:c>
      <x:c r="B101" s="170" t="str">
        <x:v>No dose or first use confirmed; product label and elemental-magnesium amount To verify</x:v>
      </x:c>
      <x:c r="C101" s="170" t="str">
        <x:v>Evidence indicates at most a modest average sleep benefit and magnesium will not offset late caffeine</x:v>
      </x:c>
      <x:c r="D101" s="170" t="str">
        <x:v>Review label before use and count elemental magnesium from all supplements; NIH source https://ods.od.nih.gov/factsheets/Magnesium-HealthProfessional/</x:v>
      </x:c>
    </x:row>
  </x:sheetData>
  <x:mergeCells>
    <x:mergeCell ref="A1:H2"/>
  </x:mergeCells>
  <x:pageMargins left="0.7" right="0.7" top="0.75" bottom="0.75" header="0.3" footer="0.3"/>
  <x:tableParts count="1">
    <x:tablePart xmlns:r="http://schemas.openxmlformats.org/officeDocument/2006/relationships" r:id="R3f393a3d937841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2" hidden="0" customWidth="1"/>
    <x:col min="4" max="4" width="12" hidden="0" customWidth="1"/>
    <x:col min="5" max="5" width="18" hidden="0" customWidth="1"/>
    <x:col min="6" max="6" width="38" hidden="0" customWidth="1"/>
    <x:col min="7" max="7" width="38" hidden="0" customWidth="1"/>
    <x:col min="8" max="8" width="38" hidden="0" customWidth="1"/>
  </x:cols>
  <x:sheetData>
    <x:row r="1" ht="28" customHeight="1">
      <x:c r="A1" s="167" t="str">
        <x:v>Session Summary &amp; Coaching Decisions</x:v>
      </x:c>
      <x:c r="B1" s="167" t="str">
        <x:v>Session Summary &amp; Coaching Decisions</x:v>
      </x:c>
      <x:c r="C1" s="167" t="str">
        <x:v>Session Summary &amp; Coaching Decisions</x:v>
      </x:c>
      <x:c r="D1" s="167" t="str">
        <x:v>Session Summary &amp; Coaching Decisions</x:v>
      </x:c>
      <x:c r="E1" s="167" t="str">
        <x:v>Session Summary &amp; Coaching Decisions</x:v>
      </x:c>
      <x:c r="F1" s="167" t="str">
        <x:v>Session Summary &amp; Coaching Decisions</x:v>
      </x:c>
      <x:c r="G1" s="167" t="str">
        <x:v>Session Summary &amp; Coaching Decisions</x:v>
      </x:c>
      <x:c r="H1" s="167" t="str">
        <x:v>Session Summary &amp; Coaching Decisions</x:v>
      </x:c>
    </x:row>
    <x:row r="2" ht="28" customHeight="1">
      <x:c r="A2" s="166" t="str">
        <x:v>Session Summary &amp; Coaching Decisions</x:v>
      </x:c>
      <x:c r="B2" s="166" t="str">
        <x:v>Session Summary &amp; Coaching Decisions</x:v>
      </x:c>
      <x:c r="C2" s="166" t="str">
        <x:v>Session Summary &amp; Coaching Decisions</x:v>
      </x:c>
      <x:c r="D2" s="166" t="str">
        <x:v>Session Summary &amp; Coaching Decisions</x:v>
      </x:c>
      <x:c r="E2" s="166" t="str">
        <x:v>Session Summary &amp; Coaching Decisions</x:v>
      </x:c>
      <x:c r="F2" s="166" t="str">
        <x:v>Session Summary &amp; Coaching Decisions</x:v>
      </x:c>
      <x:c r="G2" s="166" t="str">
        <x:v>Session Summary &amp; Coaching Decisions</x:v>
      </x:c>
      <x:c r="H2" s="166" t="str">
        <x:v>Session Summary &amp; Coaching Decisions</x:v>
      </x:c>
    </x:row>
    <x:row r="3" ht="15" hidden="0" customHeight="1">
      <x:c r="A3" s="100" t="str">
        <x:v>One row per completed workout. Dashboard counts are calculated from this sheet.</x:v>
      </x:c>
      <x:c r="B3" s="100" t="str">
        <x:v>One row per completed workout. Dashboard counts are calculated from this sheet.</x:v>
      </x:c>
      <x:c r="C3" s="100" t="str">
        <x:v>One row per completed workout. Dashboard counts are calculated from this sheet.</x:v>
      </x:c>
      <x:c r="D3" s="100" t="str">
        <x:v>One row per completed workout. Dashboard counts are calculated from this sheet.</x:v>
      </x:c>
      <x:c r="E3" s="100" t="str">
        <x:v>One row per completed workout. Dashboard counts are calculated from this sheet.</x:v>
      </x:c>
      <x:c r="F3" s="100" t="str">
        <x:v>One row per completed workout. Dashboard counts are calculated from this sheet.</x:v>
      </x:c>
      <x:c r="G3" s="100" t="str">
        <x:v>One row per completed workout. Dashboard counts are calculated from this sheet.</x:v>
      </x:c>
      <x:c r="H3" s="100" t="str">
        <x:v>One row per completed workout. Dashboard counts are calculated from this sheet.</x:v>
      </x:c>
    </x:row>
    <x:row r="4" ht="15" hidden="0" customHeight="1">
      <x:c r="A4" s="170" t="str">
        <x:v>Date</x:v>
      </x:c>
      <x:c r="B4" s="170" t="str">
        <x:v>Workout</x:v>
      </x:c>
      <x:c r="C4" s="170" t="str">
        <x:v>Exercises</x:v>
      </x:c>
      <x:c r="D4" s="170" t="str">
        <x:v>Set Entries</x:v>
      </x:c>
      <x:c r="E4" s="170" t="str">
        <x:v>Readiness</x:v>
      </x:c>
      <x:c r="F4" s="170" t="str">
        <x:v>Recovery Notes</x:v>
      </x:c>
      <x:c r="G4" s="170" t="str">
        <x:v>Coach Assessment</x:v>
      </x:c>
      <x:c r="H4" s="170" t="str">
        <x:v>Next-Session Status</x:v>
      </x:c>
    </x:row>
    <x:row r="5" ht="26.399999618530273" hidden="0" customHeight="1">
      <x:c r="A5" s="220" t="n">
        <x:v>46237</x:v>
      </x:c>
      <x:c r="B5" s="170" t="str">
        <x:v>Back</x:v>
      </x:c>
      <x:c r="C5" s="170" t="n">
        <x:v>6</x:v>
      </x:c>
      <x:c r="D5" s="170" t="n">
        <x:v>23</x:v>
      </x:c>
      <x:c r="E5" s="170" t="str">
        <x:v>Not recorded</x:v>
      </x:c>
      <x:c r="F5" s="170" t="str">
        <x:v>Lower-back pump possible; no sharp pain</x:v>
      </x:c>
      <x:c r="G5" s="170" t="str">
        <x:v>Good baseline; replace redundant rows if low back fatigues</x:v>
      </x:c>
      <x:c r="H5" s="170" t="str">
        <x:v>Targets set</x:v>
      </x:c>
    </x:row>
    <x:row r="6" ht="26.399999618530273" hidden="0" customHeight="1">
      <x:c r="A6" s="220" t="n">
        <x:v>46238</x:v>
      </x:c>
      <x:c r="B6" s="170" t="str">
        <x:v>Chest</x:v>
      </x:c>
      <x:c r="C6" s="170" t="n">
        <x:v>6</x:v>
      </x:c>
      <x:c r="D6" s="170" t="n">
        <x:v>18</x:v>
      </x:c>
      <x:c r="E6" s="170" t="str">
        <x:v>Yellow after session</x:v>
      </x:c>
      <x:c r="F6" s="170" t="str">
        <x:v>Medium energy; good sleep; mild side-deltoid soreness later</x:v>
      </x:c>
      <x:c r="G6" s="170" t="str">
        <x:v>Too press-heavy; cap future sessions at 3 presses</x:v>
      </x:c>
      <x:c r="H6" s="170" t="str">
        <x:v>Modify volume</x:v>
      </x:c>
    </x:row>
    <x:row r="7" ht="26.399999618530273" hidden="0" customHeight="1">
      <x:c r="A7" s="220" t="n">
        <x:v>46239</x:v>
      </x:c>
      <x:c r="B7" s="170" t="str">
        <x:v>Biceps</x:v>
      </x:c>
      <x:c r="C7" s="170" t="n">
        <x:v>6</x:v>
      </x:c>
      <x:c r="D7" s="170" t="n">
        <x:v>20</x:v>
      </x:c>
      <x:c r="E7" s="170" t="str">
        <x:v>Yellow</x:v>
      </x:c>
      <x:c r="F7" s="170" t="str">
        <x:v>Side-deltoid soreness 3/10; muscular, not joint-based</x:v>
      </x:c>
      <x:c r="G7" s="170" t="str">
        <x:v>Biceps completed; shoulder loading avoided</x:v>
      </x:c>
      <x:c r="H7" s="170" t="str">
        <x:v>Targets set; verify 10.25 kg</x:v>
      </x:c>
    </x:row>
    <x:row r="8" ht="26.399999618530273" hidden="0" customHeight="1">
      <x:c r="A8" s="220" t="n">
        <x:v>46240</x:v>
      </x:c>
      <x:c r="B8" s="170" t="str">
        <x:v>Legs</x:v>
      </x:c>
      <x:c r="C8" s="170" t="n">
        <x:v>7</x:v>
      </x:c>
      <x:c r="D8" s="170" t="n">
        <x:v>24</x:v>
      </x:c>
      <x:c r="E8" s="170" t="str">
        <x:v>Green/Yellow</x:v>
      </x:c>
      <x:c r="F8" s="170" t="str">
        <x:v>Medium energy; okay sleep; shoulder better</x:v>
      </x:c>
      <x:c r="G8" s="170" t="str">
        <x:v>Good baseline; leg press assisted; 40 kg curl too heavy</x:v>
      </x:c>
      <x:c r="H8" s="170" t="str">
        <x:v>Targets set</x:v>
      </x:c>
    </x:row>
    <x:row r="9" ht="92.4000015258789" hidden="0" customHeight="1">
      <x:c r="A9" s="220" t="n">
        <x:v>46241</x:v>
      </x:c>
      <x:c r="B9" s="170" t="str">
        <x:v>Shoulders</x:v>
      </x:c>
      <x:c r="C9" s="170" t="n">
        <x:v>6</x:v>
      </x:c>
      <x:c r="D9" s="170" t="n">
        <x:v>20</x:v>
      </x:c>
      <x:c r="E9" s="170" t="str">
        <x:v>Green/Yellow</x:v>
      </x:c>
      <x:c r="F9" s="170" t="str">
        <x:v>Sleep okay; medium pre-energy, Low-Medium post; no shoulder or lower-back pain; 75 min; no assisted reps; equally energetic without coffee; sleep response pending; Follow-up 2026-08-08: bedtime deliberately delayed to ~02:30; woke ~10:30 after ~8 h; sleep very good and relaxing; morning energy high with no sleepiness</x:v>
      </x:c>
      <x:c r="G9" s="170" t="str">
        <x:v>Pain-free baseline, but 19 working entries included five RIR 0 sets and several RIR 1 sets; effort density was excessive</x:v>
      </x:c>
      <x:c r="H9" s="170" t="str">
        <x:v>Keep all 6 exercises; reduce next Shoulder session to about 15 working sets, mostly RIR 2</x:v>
      </x:c>
    </x:row>
    <x:row r="10" ht="39.599998474121094" hidden="0" customHeight="1">
      <x:c r="A10" s="220" t="n">
        <x:v>46242</x:v>
      </x:c>
      <x:c r="B10" s="170" t="str">
        <x:v>Triceps</x:v>
      </x:c>
      <x:c r="C10" s="170" t="n">
        <x:v>6</x:v>
      </x:c>
      <x:c r="D10" s="170" t="n">
        <x:v>21</x:v>
      </x:c>
      <x:c r="E10" s="170" t="str">
        <x:v>Green</x:v>
      </x:c>
      <x:c r="F10" s="170" t="str">
        <x:v>Excellent prior sleep; medium pre/post energy; no shoulder, elbow, lower-back or other pain; 90 min; no forced reps; EAA+ amount To verify; no coffee</x:v>
      </x:c>
      <x:c r="G10" s="170" t="str">
        <x:v>Pain-free baseline, but 20 working sets included 14 known RIR 1 sets plus a drop set; repeated fourth sets made effort density excessive</x:v>
      </x:c>
      <x:c r="H10" s="170" t="str">
        <x:v>Keep 6 exercises if preferred, but exactly 3 working sets each (18 maximum), mostly RIR 2-3, with no drop sets or fourth sets</x:v>
      </x:c>
    </x:row>
    <x:row r="11">
      <x:c r="A11" s="220" t="n">
        <x:v>46244</x:v>
      </x:c>
      <x:c r="B11" s="170" t="str">
        <x:v>Back</x:v>
      </x:c>
      <x:c r="C11" s="170" t="n">
        <x:v>6</x:v>
      </x:c>
      <x:c r="D11" s="170" t="n">
        <x:v>19</x:v>
      </x:c>
      <x:c r="E11" s="170" t="str">
        <x:v>Green</x:v>
      </x:c>
      <x:c r="F11" s="170" t="str">
        <x:v>Good sleep; Low-Medium final energy; no pain; slight triceps sensation; 90 min; full EAA; extra coffee To verify</x:v>
      </x:c>
      <x:c r="G11" s="170" t="str">
        <x:v>Productive progression, but both warm-ups were working-level and effort density remained high</x:v>
      </x:c>
      <x:c r="H11" s="170" t="str">
        <x:v>Repeat loads with more reserve; cap direct work near 15-18 entries</x:v>
      </x:c>
    </x:row>
    <x:row r="12">
      <x:c r="A12" s="220" t="n">
        <x:v>46245</x:v>
      </x:c>
      <x:c r="B12" s="170" t="str">
        <x:v>Chest</x:v>
      </x:c>
      <x:c r="C12" s="170" t="n">
        <x:v>6</x:v>
      </x:c>
      <x:c r="D12" s="170" t="n">
        <x:v>18</x:v>
      </x:c>
      <x:c r="E12" s="170" t="str">
        <x:v>Green/Yellow</x:v>
      </x:c>
      <x:c r="F12" s="170" t="str">
        <x:v>Good sleep; Low final energy; no pain; no confirmed assistance; final incline rep nearly assisted; duration To verify; full EAA</x:v>
      </x:c>
      <x:c r="G12" s="170" t="str">
        <x:v>Several rep improvements, but 12 of 18 sets reached RIR 1</x:v>
      </x:c>
      <x:c r="H12" s="170" t="str">
        <x:v>Use 3 presses maximum; preserve 1-2 RIR on most sets</x:v>
      </x:c>
    </x:row>
    <x:row r="13">
      <x:c r="A13" s="220" t="n">
        <x:v>46246</x:v>
      </x:c>
      <x:c r="B13" s="170" t="str">
        <x:v>Biceps</x:v>
      </x:c>
      <x:c r="C13" s="170" t="n">
        <x:v>6</x:v>
      </x:c>
      <x:c r="D13" s="170" t="n">
        <x:v>20</x:v>
      </x:c>
      <x:c r="E13" s="170" t="str">
        <x:v>Green/Yellow</x:v>
      </x:c>
      <x:c r="F13" s="170" t="str">
        <x:v>Good sleep; Low final energy; no pain; 90 min; no assistance or body swing; full EAA; no coffee</x:v>
      </x:c>
      <x:c r="G13" s="170" t="str">
        <x:v>Progressed, but 16 RIR-1 sets plus one RIR-0 set created excessive effort density</x:v>
      </x:c>
      <x:c r="H13" s="170" t="str">
        <x:v>Exactly 18 sets maximum; no failure-oriented concentration curls</x:v>
      </x:c>
    </x:row>
    <x:row r="14">
      <x:c r="A14" s="220" t="n">
        <x:v>46247</x:v>
      </x:c>
      <x:c r="B14" s="170" t="str">
        <x:v>Legs</x:v>
      </x:c>
      <x:c r="C14" s="170" t="n">
        <x:v>7</x:v>
      </x:c>
      <x:c r="D14" s="170" t="n">
        <x:v>22</x:v>
      </x:c>
      <x:c r="E14" s="170" t="str">
        <x:v>Green/Yellow</x:v>
      </x:c>
      <x:c r="F14" s="170" t="str">
        <x:v>Good sleep; Low final energy; no pain; easier stairs; 90 min; four hand-assisted leg-press reps; full EAA</x:v>
      </x:c>
      <x:c r="G14" s="170" t="str">
        <x:v>Clear progression, but leg-press top set was only 4 clean reps and leg-curl form remains To verify</x:v>
      </x:c>
      <x:c r="H14" s="170" t="str">
        <x:v>Introduce controlled hip hinge later; manage fatigue and verify leg-curl range</x:v>
      </x:c>
    </x:row>
    <x:row r="15">
      <x:c r="A15" s="220" t="n">
        <x:v>46248</x:v>
      </x:c>
      <x:c r="B15" s="170" t="str">
        <x:v>Shoulders</x:v>
      </x:c>
      <x:c r="C15" s="170" t="n">
        <x:v>6</x:v>
      </x:c>
      <x:c r="D15" s="170" t="n">
        <x:v>19</x:v>
      </x:c>
      <x:c r="E15" s="170" t="str">
        <x:v>Green</x:v>
      </x:c>
      <x:c r="F15" s="170" t="str">
        <x:v>Good sleep; Medium final energy; no pain; 90 min; no assistance; full EAA</x:v>
      </x:c>
      <x:c r="G15" s="170" t="str">
        <x:v>Better RIR distribution and pain-free work; lateral-machine set count remains To verify</x:v>
      </x:c>
      <x:c r="H15" s="170" t="str">
        <x:v>Keep six exercises but remove extra sets; progress reserve before load</x:v>
      </x:c>
    </x:row>
    <x:row r="16">
      <x:c r="A16" s="220" t="n">
        <x:v>46249</x:v>
      </x:c>
      <x:c r="B16" s="170" t="str">
        <x:v>Triceps</x:v>
      </x:c>
      <x:c r="C16" s="170" t="n">
        <x:v>8</x:v>
      </x:c>
      <x:c r="D16" s="170" t="n">
        <x:v>23</x:v>
      </x:c>
      <x:c r="E16" s="170" t="str">
        <x:v>Green</x:v>
      </x:c>
      <x:c r="F16" s="170" t="str">
        <x:v>Very good sleep; Medium final energy; no pain; 90 min; no forced reps; full EAA; coffee To verify; includes walk and planks</x:v>
      </x:c>
      <x:c r="G16" s="170" t="str">
        <x:v>Strong progression and controlled dips; 20 direct sets still exceeded cap</x:v>
      </x:c>
      <x:c r="H16" s="170" t="str">
        <x:v>Exactly 18 direct sets; retain optional easy 10-minute cardio and 2 plank sets if recovery is good</x:v>
      </x:c>
    </x:row>
    <x:row r="17">
      <x:c r="A17" s="220" t="n">
        <x:v>46251</x:v>
      </x:c>
      <x:c r="B17" s="170" t="str">
        <x:v>Back</x:v>
      </x:c>
      <x:c r="C17" s="170" t="n">
        <x:v>6</x:v>
      </x:c>
      <x:c r="D17" s="170" t="n">
        <x:v>20</x:v>
      </x:c>
      <x:c r="E17" s="170" t="str">
        <x:v>Green/Yellow</x:v>
      </x:c>
      <x:c r="F17" s="170" t="str">
        <x:v>Good sleep; Low final energy; 75 min; lower-back pump without pain; no shoulder/elbow pain; no assistance</x:v>
      </x:c>
      <x:c r="G17" s="170" t="str">
        <x:v>High-row progression was useful; +20 kg hyperextension at RIR 0 was unnecessary and caused substantial fatigue</x:v>
      </x:c>
      <x:c r="H17" s="170" t="str">
        <x:v>Exactly 15 direct sets; no +20 kg hyperextension; use body weight and +10 kg with reserve</x:v>
      </x:c>
    </x:row>
    <x:row r="18">
      <x:c r="A18" s="220" t="n">
        <x:v>46252</x:v>
      </x:c>
      <x:c r="B18" s="170" t="str">
        <x:v>Chest</x:v>
      </x:c>
      <x:c r="C18" s="170" t="n">
        <x:v>6</x:v>
      </x:c>
      <x:c r="D18" s="170" t="n">
        <x:v>18</x:v>
      </x:c>
      <x:c r="E18" s="170" t="str">
        <x:v>Green</x:v>
      </x:c>
      <x:c r="F18" s="170" t="str">
        <x:v>Good sleep; Medium start and Medium-Low final energy; no pain; little lower-biceps pump after final cable fly; medium chest pump; 90 min; no assistance; full EAA+; no coffee; three strict 60-sec planks</x:v>
      </x:c>
      <x:c r="G18" s="170" t="str">
        <x:v>Exactly 15 direct chest sets plus 3 core sets. Incline press, plate press, pec deck and cable fly progressed; flat-bench top set remained unchanged and several early sets were harder than planned.</x:v>
      </x:c>
      <x:c r="H18" s="170" t="str">
        <x:v>Retain 15 direct sets; improve reserve before load; remove 15 kg cable-fly working set; keep 3 x 60-sec strict planks</x:v>
      </x:c>
    </x:row>
    <x:row r="19">
      <x:c r="A19" s="220" t="n">
        <x:v>46253</x:v>
      </x:c>
      <x:c r="B19" s="170" t="str">
        <x:v>Biceps</x:v>
      </x:c>
      <x:c r="C19" s="170" t="n">
        <x:v>6</x:v>
      </x:c>
      <x:c r="D19" s="170" t="n">
        <x:v>18</x:v>
      </x:c>
      <x:c r="E19" s="170" t="str">
        <x:v>Green/Yellow</x:v>
      </x:c>
      <x:c r="F19" s="170" t="str">
        <x:v>Good sleep; Medium-High start and Low final energy; usual overall biceps sensation; no joint pain; medium-high pump; 90 min; no assistance or body swing; full EAA+; no coffee</x:v>
      </x:c>
      <x:c r="G19" s="170" t="str">
        <x:v>Clear improvement over 2026-08-12: volume reduced from 20 to 18, no RIR 0 sets, only three RIR 1 sets, and multiple rep/reserve progressions. Incline dumbbell curl replaced cable curl and established a clean baseline.</x:v>
      </x:c>
      <x:c r="H19" s="170" t="str">
        <x:v>Retain exactly 18 sets and 3 per exercise; keep loads; improve reserve before progression; active sequence uses incline dumbbell curl instead of cable curl</x:v>
      </x:c>
    </x:row>
    <x:row r="20">
      <x:c r="A20" s="220" t="n">
        <x:v>46254</x:v>
      </x:c>
      <x:c r="B20" s="170" t="str">
        <x:v>Legs</x:v>
      </x:c>
      <x:c r="C20" s="170" t="n">
        <x:v>6</x:v>
      </x:c>
      <x:c r="D20" s="170" t="n">
        <x:v>18</x:v>
      </x:c>
      <x:c r="E20" s="170" t="str">
        <x:v>Yellow</x:v>
      </x:c>
      <x:c r="F20" s="170" t="str">
        <x:v>Good sleep; Medium start and Low final energy; 100 min; normal lower-back pump without pain; little hip pain with details To verify; no knee pain reported; stairs/walking better than last Legs session; full EAA+; no coffee; only the 150 kg leg-press set included assistance</x:v>
      </x:c>
      <x:c r="G20" s="170" t="str">
        <x:v>Hack squat, leg extension and calf work progressed, and post-session walking/stairs improved. However, the RDL remained lower-back dominant, leg curl reached RIR 0, the top leg-press set again needed assistance, final energy was low, and hip pain requires verification.</x:v>
      </x:c>
      <x:c r="H20" s="170" t="str">
        <x:v>Keep the 18-set cap; no assisted reps or failure; reset RDL technique at 10 kg each; omit 150 kg leg press; verify hip pain before Shoulders</x:v>
      </x:c>
    </x:row>
    <x:row r="21">
      <x:c r="A21" s="220" t="n">
        <x:v>46255</x:v>
      </x:c>
      <x:c r="B21" s="170" t="str">
        <x:v>Shoulders</x:v>
      </x:c>
      <x:c r="C21" s="170" t="n">
        <x:v>9</x:v>
      </x:c>
      <x:c r="D21" s="170" t="n">
        <x:v>25</x:v>
      </x:c>
      <x:c r="E21" s="170" t="str">
        <x:v>Green/Yellow</x:v>
      </x:c>
      <x:c r="F21" s="170" t="str">
        <x:v>Good sleep; Medium-High start and Medium final energy; no shoulder, neck, elbow, wrist, hip or lower-back pain; 100 min; no assistance; low-medium shoulder pump; full EAA+; no coffee; delayed soreness To verify</x:v>
      </x:c>
      <x:c r="G21" s="170" t="str">
        <x:v>Pressing reserve, reverse-pec-deck reserve and lateral-raise performance progressed without pain. However, 20 shoulder working sets exceeded the 18-set cap, the cable shrug produced poor trap stimulus, and the 12% incline finisher added unnecessary fatigue after Legs.</x:v>
      </x:c>
      <x:c r="H21" s="170" t="str">
        <x:v>Return to exactly 18 shoulder working sets; no experimental extras; keep loads and improve reserve; replace cable shrug with dumbbell/dedicated shrug; check delayed soreness before Triceps</x:v>
      </x:c>
    </x:row>
    <x:row r="22">
      <x:c r="A22" s="220" t="n">
        <x:v>46256</x:v>
      </x:c>
      <x:c r="B22" s="170" t="str">
        <x:v>Triceps</x:v>
      </x:c>
      <x:c r="C22" s="170" t="n">
        <x:v>6</x:v>
      </x:c>
      <x:c r="D22" s="170" t="n">
        <x:v>20</x:v>
      </x:c>
      <x:c r="E22" s="170" t="str">
        <x:v>Green/Yellow</x:v>
      </x:c>
      <x:c r="F22" s="170" t="str">
        <x:v>Good sleep; Medium start and Low final energy; very little shoulder soreness unchanged; no shoulder, elbow or wrist pain; 75 min; no forced reps or technique breakdown; medium pump; full EAA+; no coffee; no formal cardio/core</x:v>
      </x:c>
      <x:c r="G22" s="170" t="str">
        <x:v>Multiple rep/reserve progressions were pain-free and duration improved to 75 min. Direct work decreased from 20 to 19 sets, but the 18-set ceiling was still exceeded after live set reductions were not followed; Low final energy supported omitting cardio.</x:v>
      </x:c>
      <x:c r="H22" s="170" t="str">
        <x:v>Exactly 18 direct sets next time: three per exercise, no fourth rope set and no extra sets after live adjustment; keep loads and improve reserve; temporary four-day week pending exact days</x:v>
      </x:c>
    </x:row>
    <x:row r="23">
      <x:c r="A23" s="220" t="n">
        <x:v>46258</x:v>
      </x:c>
      <x:c r="B23" s="170" t="str">
        <x:v>Back + Biceps</x:v>
      </x:c>
      <x:c r="C23" s="170" t="n">
        <x:v>6</x:v>
      </x:c>
      <x:c r="D23" s="170" t="n">
        <x:v>20</x:v>
      </x:c>
      <x:c r="E23" s="170" t="str">
        <x:v>Green/Yellow</x:v>
      </x:c>
      <x:c r="F23" s="170" t="str">
        <x:v>Good sleep; Medium-High start and Low final energy; no back, biceps, elbow, shoulder or lower-back pain; no unusual sensation; 75 min; no assistance or technique breakdown; full EAA+; morning coffee amount/time To verify; no cardio/core</x:v>
      </x:c>
      <x:c r="G23" s="170" t="str">
        <x:v>Back performance improved without pain, but 20 meaningful sets were accumulated after three live volume reductions were not followed. Two sets were classified as preparation, yet both ended at RIR 3 and contributed material fatigue. Low final energy confirmed that the extra volume was unnecessary.</x:v>
      </x:c>
      <x:c r="H23" s="170" t="str">
        <x:v>Next immediate session Chest + Triceps, fresh readiness required; combined sessions capped at 18 meaningful sets; follow live reductions; keep loads and improve reserve</x:v>
      </x:c>
    </x:row>
    <x:row r="24">
      <x:c r="A24" s="220" t="n">
        <x:v>46259</x:v>
      </x:c>
      <x:c r="B24" s="170" t="str">
        <x:v>Chest + Triceps</x:v>
      </x:c>
      <x:c r="C24" s="170" t="n">
        <x:v>6</x:v>
      </x:c>
      <x:c r="D24" s="170" t="n">
        <x:v>20</x:v>
      </x:c>
      <x:c r="E24" s="170" t="str">
        <x:v>Green/Yellow</x:v>
      </x:c>
      <x:c r="F24" s="170" t="str">
        <x:v>Good sleep; Medium start and Low final energy; no chest, shoulder, elbow or wrist pain; strong non-painful upper-biceps/arm pump likely from pec deck, exact side To verify; 75 min; medium chest/triceps pump; no assistance or breakdown; full EAA+; no coffee; no cardio/core</x:v>
      </x:c>
      <x:c r="G24" s="170" t="str">
        <x:v>Performance improved across incline pressing and several established loads without pain or assistance, but 19 meaningful sets exceeded the 18-set cap. Flat bench reached RIR 0 and three live volume reductions were not followed. Low final energy confirmed the extra work was unnecessary.</x:v>
      </x:c>
      <x:c r="H24" s="170" t="str">
        <x:v>Legs next after fresh readiness and biceps-pump resolution; next combined Chest + Triceps exactly 18 meaningful sets; no RIR 0; follow live reductions; omit unplanned 50 kg plate press, 60 kg pec deck and 45 kg overhead rope</x:v>
      </x:c>
    </x:row>
    <x:row r="25">
      <x:c r="A25" s="220" t="n">
        <x:v>46260</x:v>
      </x:c>
      <x:c r="B25" s="170" t="str">
        <x:v>Shoulders + Biceps</x:v>
      </x:c>
      <x:c r="C25" s="170" t="n">
        <x:v>6</x:v>
      </x:c>
      <x:c r="D25" s="170" t="n">
        <x:v>19</x:v>
      </x:c>
      <x:c r="E25" s="170" t="str">
        <x:v>Green/Yellow</x:v>
      </x:c>
      <x:c r="F25" s="170" t="str">
        <x:v>Good sleep; Medium start and Low final energy; no soreness or pain; prior upper-biceps pump resolved; 75 min; medium shoulder/trap pump; no assistance or form breakdown; 25 kg shoulder press and 60 kg upright row confirmed clean; full EAA+; no coffee; no core/cardio; no additional 15 kg curl</x:v>
      </x:c>
      <x:c r="G25" s="170" t="str">
        <x:v>Exactly 18 working sets plus one genuine warm-up were completed without pain, assistance or RIR 0. Pressing, lateral raises and curl reserve progressed. Live substitution preserved the set ceiling, but Low final energy means the unplanned 25 kg press and 60 kg upright row do not justify expanding load or volume.</x:v>
      </x:c>
      <x:c r="H25" s="170" t="str">
        <x:v>Legs next after fresh hip, knee and lower-back readiness; keep exactly 18 working sets, no failure or hand assistance; RDL technique reset at 10 kg each; next Shoulders use three planned press sets and no 60 kg upright row</x:v>
      </x:c>
    </x:row>
    <x:row r="26" ht="84" customHeight="1">
      <x:c r="A26" s="220" t="n">
        <x:v>46261</x:v>
      </x:c>
      <x:c r="B26" s="170" t="str">
        <x:v>Legs</x:v>
      </x:c>
      <x:c r="C26" s="170" t="n">
        <x:v>6</x:v>
      </x:c>
      <x:c r="D26" s="170" t="n">
        <x:v>18</x:v>
      </x:c>
      <x:c r="E26" s="170" t="str">
        <x:v>Yellow</x:v>
      </x:c>
      <x:c r="F26" s="170" t="str">
        <x:v>Good sleep; Medium start and Low final energy; no soreness or pre-session pain; no post-session lower-back, knee or hip pain; 90 min; medium leg/lower-back pump; RDL hamstrings dominant with a little back involvement; full EAA+; no coffee; only the final two repetitions at 160 kg leg press were human-assisted</x:v>
      </x:c>
      <x:c r="G26" s="170" t="str">
        <x:v>Exactly 18 working sets were completed with no RIR 0 or pain. Hack squat reserve, RDL targeting, leg-extension execution and calf reserve improved. The assisted 160 kg leg-press set and fourth consecutive Low final-energy session prevent load progression and support immediate recovery.</x:v>
      </x:c>
      <x:c r="H26" s="170" t="str">
        <x:v>Recovery/rest next; next Legs use three unassisted leg-press sets, keep RDL pain-free and hamstring-led, improve leg-curl reserve, and retain exactly 18 working sets</x:v>
      </x:c>
    </x:row>
    <x:row r="27" ht="84" customHeight="1">
      <x:c r="A27" s="220" t="n">
        <x:v>46265</x:v>
      </x:c>
      <x:c r="B27" s="170" t="str">
        <x:v>Chest + Triceps</x:v>
      </x:c>
      <x:c r="C27" s="170" t="n">
        <x:v>6</x:v>
      </x:c>
      <x:c r="D27" s="170" t="n">
        <x:v>17</x:v>
      </x:c>
      <x:c r="E27" s="170" t="str">
        <x:v>Green/Yellow</x:v>
      </x:c>
      <x:c r="F27" s="170" t="str">
        <x:v>Good sleep; Medium start and Low final energy; no soreness or pain; 100 min total including cardio; medium chest/triceps pump; no human-assisted repetitions or form breakdown; full EAA+ (100 mg caffeine); no coffee; creatine not started; 15 min treadmill at 12% incline and reported 3-4 mph walking-speed range</x:v>
      </x:c>
      <x:c r="G27" s="170" t="str">
        <x:v>Seventeen working sets plus one genuine warm-up were completed with no pain, RIR 0 or human assistance. Flat-bench reserve improved, incline established a clean 17.5 kg/side baseline, pec deck and pushdown reserve improved. The extra 45 kg overhead-rope set exceeded the two-set prescription, and Low final energy means no additional volume or cardio progression is warranted.</x:v>
      </x:c>
      <x:c r="H27" s="170" t="str">
        <x:v>Back + Biceps next after fresh readiness; use the new six-day split, cap the session at 16 working sets, keep most sets at RIR 2, and add cardio only if final energy remains Medium or higher</x:v>
      </x:c>
    </x:row>
    <x:row r="28" ht="84" customHeight="1">
      <x:c r="A28" s="220" t="n">
        <x:v>46266</x:v>
      </x:c>
      <x:c r="B28" s="170" t="str">
        <x:v>Back + Biceps</x:v>
      </x:c>
      <x:c r="C28" s="170" t="n">
        <x:v>6</x:v>
      </x:c>
      <x:c r="D28" s="170" t="n">
        <x:v>16</x:v>
      </x:c>
      <x:c r="E28" s="170" t="str">
        <x:v>Green/Yellow</x:v>
      </x:c>
      <x:c r="F28" s="170" t="str">
        <x:v>Good sleep; Medium start and Low final energy; no soreness or pain; 90 min total including 20 min treadmill; medium back/biceps pump; no assisted repetitions or form breakdown; full EAA+ (100 mg caffeine); no coffee; creatine status To verify; cardio 3 km/h at 12% incline; machine displayed '200k' interpreted as approximately 200 kcal To verify</x:v>
      </x:c>
      <x:c r="G28" s="170" t="str">
        <x:v>Exactly 16 working sets plus three genuine preparation sets were completed with no pain or RIR 0. Lat pulldown and seated-row performance progressed. A new T-bar machine and the established row machine were both used, duplicating the horizontal-row pattern and displacing straight-arm pulldown; three sets reached RIR 1 and final energy was Low.</x:v>
      </x:c>
      <x:c r="H28" s="170" t="str">
        <x:v>Shoulders + Triceps next after fresh readiness; next Back + Biceps use only one chest-supported-row variation, retain exactly 16 working sets, keep routine work at RIR 2-3, and use 20 min cardio at a moderated 8-10% incline</x:v>
      </x:c>
    </x:row>
    <x:row r="29" ht="84" customHeight="1">
      <x:c r="A29" s="220" t="n">
        <x:v>46267</x:v>
      </x:c>
      <x:c r="B29" s="170" t="str">
        <x:v>Shoulders + Triceps</x:v>
      </x:c>
      <x:c r="C29" s="170" t="n">
        <x:v>6</x:v>
      </x:c>
      <x:c r="D29" s="170" t="n">
        <x:v>19</x:v>
      </x:c>
      <x:c r="E29" s="170" t="str">
        <x:v>Green/Yellow</x:v>
      </x:c>
      <x:c r="F29" s="170" t="str">
        <x:v>Good sleep; Medium start and Medium-to-Low final energy; no soreness or pain; 90 min total including 20 min treadmill; medium shoulder/triceps pump; no assisted repetitions or form breakdown; full EAA+ (100 mg caffeine); no coffee; creatine status To verify; cardio 3.5 km/h at 12% incline without rail support or symptoms</x:v>
      </x:c>
      <x:c r="G29" s="170" t="str">
        <x:v>Nineteen working sets plus one genuine preparation set were completed pain-free, with five sets at RIR 3 and fourteen at RIR 2. Performance and reserve progressed, but the session exceeded the planned 15 working sets by four and the absolute 18-set ceiling by one during the third consecutive training day.</x:v>
      </x:c>
      <x:c r="H29" s="170" t="str">
        <x:v>Legs + Calves next after fresh readiness; next Shoulders + Triceps exactly 15 working sets, no load increases, and post-leg cardio limited to 5-10 min easy or omitted</x:v>
      </x:c>
    </x:row>
    <x:row r="30" ht="84" customHeight="1">
      <x:c r="A30" s="220" t="n">
        <x:v>46268</x:v>
      </x:c>
      <x:c r="B30" s="170" t="str">
        <x:v>Legs + Calves</x:v>
      </x:c>
      <x:c r="C30" s="170" t="n">
        <x:v>6</x:v>
      </x:c>
      <x:c r="D30" s="170" t="n">
        <x:v>18</x:v>
      </x:c>
      <x:c r="E30" s="170" t="str">
        <x:v>Green/Yellow</x:v>
      </x:c>
      <x:c r="F30" s="170" t="str">
        <x:v>Good sleep; Medium start and Low final energy; no soreness or pain; 80 min; medium leg pump; no assistance or form breakdown; full EAA+ (100 mg caffeine); no coffee; creatine status To verify; no cardio/core</x:v>
      </x:c>
      <x:c r="G30" s="170" t="str">
        <x:v>Exactly 18 working sets were completed without pain or RIR 0. The 160 kg leg press improved from five clean plus two assisted repetitions to seven unassisted. Calf targets were met. However, three sets reached RIR 1, the fourth leg-press set exceeded prescription, and the 17.5 kg RDL substitution produced only limited hamstring sensation.</x:v>
      </x:c>
      <x:c r="H30" s="170" t="str">
        <x:v>Chest + Shoulders next after fresh readiness; next Legs exactly three leg-press sets, planned RDL top load returns to 15 kg each, improve leg-curl reserve, and use three calf sets within the 18-set ceiling</x:v>
      </x:c>
    </x:row>
    <x:row r="31" ht="125" customHeight="1">
      <x:c r="A31" s="220" t="n">
        <x:v>46269</x:v>
      </x:c>
      <x:c r="B31" s="170" t="str">
        <x:v>Chest + Shoulders</x:v>
      </x:c>
      <x:c r="C31" s="170" t="n">
        <x:v>6</x:v>
      </x:c>
      <x:c r="D31" s="170" t="n">
        <x:v>17</x:v>
      </x:c>
      <x:c r="E31" s="170" t="str">
        <x:v>Green/Yellow</x:v>
      </x:c>
      <x:c r="F31" s="170" t="str">
        <x:v>Good sleep; starting energy and pre-session soreness/pain To verify; Medium-to-Low final energy; no post-session pain or upright-row pinching; 90 min including 20 min treadmill; medium chest/shoulder pump; no assistance or form breakdown; half EAA+ plus half pre-workout, approximately 150 mg combined caffeine with pre-workout label To verify; no coffee; 3 g creatine started post-workout</x:v>
      </x:c>
      <x:c r="G31" s="170" t="str">
        <x:v>Seventeen working sets plus three genuine preparation sets were completed with no RIR 1/0, pain, pinching or assistance. Friday exercise selection differed from Monday and Wednesday, and incline-dumbbell, low-to-high-fly and upright-row baselines progressed. The extra face-pull set and 20 min at 12% incline increased fatigue on the fifth consecutive training day; final energy was Medium-Low.</x:v>
      </x:c>
      <x:c r="H31" s="170" t="str">
        <x:v>Back + Biceps only after Good sleep, at least Medium starting energy and no meaningful soreness/pain; cap at 16 working sets, use one chest-supported-row variation, keep RIR 2-3 and omit post-lift cardio</x:v>
      </x:c>
    </x:row>
  </x:sheetData>
  <x:mergeCells>
    <x:mergeCell ref="A1:H2"/>
    <x:mergeCell ref="A3:H3"/>
  </x:mergeCells>
  <x:dataValidations count="1">
    <x:dataValidation type="list" sqref="E5:E8">
      <x:formula1>"Green,Green/Yellow,Yellow,Red,Not recorded,Yellow after session"</x:formula1>
    </x:dataValidation>
  </x:dataValidations>
  <x:pageMargins left="0.7" right="0.7" top="0.75" bottom="0.75" header="0.3" footer="0.3"/>
  <x:tableParts count="1">
    <x:tablePart xmlns:r="http://schemas.openxmlformats.org/officeDocument/2006/relationships" r:id="Red70f3afc57f48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66" hidden="0" customWidth="1"/>
    <x:col min="4" max="4" width="14" hidden="0" customWidth="1"/>
    <x:col min="5" max="5" width="48" hidden="0" customWidth="1"/>
  </x:cols>
  <x:sheetData>
    <x:row r="1" ht="28" customHeight="1">
      <x:c r="A1" s="177" t="str">
        <x:v>Coaching Profile &amp; Information Needed</x:v>
      </x:c>
      <x:c r="B1" s="177" t="str">
        <x:v>Coaching Profile &amp; Information Needed</x:v>
      </x:c>
      <x:c r="C1" s="177" t="str">
        <x:v>Coaching Profile &amp; Information Needed</x:v>
      </x:c>
      <x:c r="D1" s="177" t="str">
        <x:v>Coaching Profile &amp; Information Needed</x:v>
      </x:c>
      <x:c r="E1" s="177" t="str">
        <x:v>Coaching Profile &amp; Information Needed</x:v>
      </x:c>
    </x:row>
    <x:row r="2" ht="28" customHeight="1">
      <x:c r="A2" s="173" t="str">
        <x:v>Coaching Profile &amp; Information Needed</x:v>
      </x:c>
      <x:c r="B2" s="173" t="str">
        <x:v>Coaching Profile &amp; Information Needed</x:v>
      </x:c>
      <x:c r="C2" s="173" t="str">
        <x:v>Coaching Profile &amp; Information Needed</x:v>
      </x:c>
      <x:c r="D2" s="173" t="str">
        <x:v>Coaching Profile &amp; Information Needed</x:v>
      </x:c>
      <x:c r="E2" s="173" t="str">
        <x:v>Coaching Profile &amp; Information Needed</x:v>
      </x:c>
    </x:row>
    <x:row r="3" ht="15" hidden="0" customHeight="1">
      <x:c r="A3" s="101" t="str">
        <x:v>Updated 2026-08-07. Unknown or product-specific values remain To verify and are never inferred.</x:v>
      </x:c>
      <x:c r="B3" s="101" t="str">
        <x:v>Updated 2026-08-07. Unknown or product-specific values remain To verify and are never inferred.</x:v>
      </x:c>
      <x:c r="C3" s="101" t="str">
        <x:v>Updated 2026-08-07. Unknown or product-specific values remain To verify and are never inferred.</x:v>
      </x:c>
      <x:c r="D3" s="101" t="str">
        <x:v>Updated 2026-08-07. Unknown or product-specific values remain To verify and are never inferred.</x:v>
      </x:c>
      <x:c r="E3" s="101" t="str">
        <x:v>Updated 2026-08-07. Unknown or product-specific values remain To verify and are never inferred.</x:v>
      </x:c>
    </x:row>
    <x:row r="4" ht="15" hidden="0" customHeight="1">
      <x:c r="A4" s="170" t="str">
        <x:v>Category</x:v>
      </x:c>
      <x:c r="B4" s="170" t="str">
        <x:v>Item</x:v>
      </x:c>
      <x:c r="C4" s="170" t="str">
        <x:v>Current Value</x:v>
      </x:c>
      <x:c r="D4" s="170" t="str">
        <x:v>Status</x:v>
      </x:c>
      <x:c r="E4" s="170" t="str">
        <x:v>Why Needed / Next Check</x:v>
      </x:c>
    </x:row>
    <x:row r="5" ht="15" hidden="0" customHeight="1">
      <x:c r="A5" s="170" t="str">
        <x:v>Basics</x:v>
      </x:c>
      <x:c r="B5" s="170" t="str">
        <x:v>Height</x:v>
      </x:c>
      <x:c r="C5" s="170" t="str">
        <x:v>5'10"</x:v>
      </x:c>
      <x:c r="D5" s="170" t="str">
        <x:v>Known</x:v>
      </x:c>
      <x:c r="E5" s="170" t="str">
        <x:v>Exercise setup and body-composition context</x:v>
      </x:c>
    </x:row>
    <x:row r="6" ht="39.599998474121094" hidden="0" customHeight="1">
      <x:c r="A6" s="170" t="str">
        <x:v>Basics</x:v>
      </x:c>
      <x:c r="B6" s="170" t="str">
        <x:v>Current body weight</x:v>
      </x:c>
      <x:c r="C6" s="170" t="str">
        <x:v>87.7 kg on 2026-08-23; repeated 87.6-87.7 kg before food/drink. No morning bowel movement because bowel movement occurred around midnight. Previous-day 88.7 kg conditions To verify.</x:v>
      </x:c>
      <x:c r="D6" s="170" t="str">
        <x:v>Known with protocol note</x:v>
      </x:c>
      <x:c r="E6" s="170" t="str">
        <x:v>Continue daily readings and compare seven-day averages</x:v>
      </x:c>
    </x:row>
    <x:row r="7" ht="15" hidden="0" customHeight="1">
      <x:c r="A7" s="170" t="str">
        <x:v>Basics</x:v>
      </x:c>
      <x:c r="B7" s="170" t="str">
        <x:v>Date of birth / age</x:v>
      </x:c>
      <x:c r="C7" s="170" t="str">
        <x:v>1992-09-18; age 33 as of 2026-08-07</x:v>
      </x:c>
      <x:c r="D7" s="170" t="str">
        <x:v>Known</x:v>
      </x:c>
      <x:c r="E7" s="170" t="str">
        <x:v>Recovery and nutrition context</x:v>
      </x:c>
    </x:row>
    <x:row r="8" ht="15" hidden="0" customHeight="1">
      <x:c r="A8" s="170" t="str">
        <x:v>Health</x:v>
      </x:c>
      <x:c r="B8" s="170" t="str">
        <x:v>Medical conditions and medications</x:v>
      </x:c>
      <x:c r="C8" s="170" t="str">
        <x:v>None reported on 2026-08-07</x:v>
      </x:c>
      <x:c r="D8" s="170" t="str">
        <x:v>Known</x:v>
      </x:c>
      <x:c r="E8" s="170" t="str">
        <x:v>Reconfirm if anything changes</x:v>
      </x:c>
    </x:row>
    <x:row r="9" ht="15" hidden="0" customHeight="1">
      <x:c r="A9" s="170" t="str">
        <x:v>Health</x:v>
      </x:c>
      <x:c r="B9" s="170" t="str">
        <x:v>Past injuries or surgeries</x:v>
      </x:c>
      <x:c r="C9" s="170" t="str">
        <x:v>None reported on 2026-08-07</x:v>
      </x:c>
      <x:c r="D9" s="170" t="str">
        <x:v>Known</x:v>
      </x:c>
      <x:c r="E9" s="170" t="str">
        <x:v>Reconfirm if anything was omitted</x:v>
      </x:c>
    </x:row>
    <x:row r="10" ht="26.399999618530273" hidden="0" customHeight="1">
      <x:c r="A10" s="170" t="str">
        <x:v>Health</x:v>
      </x:c>
      <x:c r="B10" s="170" t="str">
        <x:v>Current pain or movement restrictions</x:v>
      </x:c>
      <x:c r="C10" s="170" t="str">
        <x:v>After Chest + Shoulders on 2026-09-04: no chest, shoulder, elbow, wrist or upper-biceps pain; no upright-row shoulder pinching; no assistance or reported form breakdown.</x:v>
      </x:c>
      <x:c r="D10" s="170" t="str">
        <x:v>Known with pre-session gap</x:v>
      </x:c>
      <x:c r="E10" s="170" t="str">
        <x:v>Fresh Back + Biceps readiness; pre-session soreness/pain for 2026-09-04 remains To verify</x:v>
      </x:c>
    </x:row>
    <x:row r="11" ht="26.399999618530273" hidden="0" customHeight="1">
      <x:c r="A11" s="170" t="str">
        <x:v>Goal</x:v>
      </x:c>
      <x:c r="B11" s="170" t="str">
        <x:v>Primary goal</x:v>
      </x:c>
      <x:c r="C11" s="170" t="str">
        <x:v>Lean athletic physique; reduce waist/abdominal fat;
retain/build muscle and strength</x:v>
      </x:c>
      <x:c r="D11" s="170" t="str">
        <x:v>Known</x:v>
      </x:c>
      <x:c r="E11" s="170" t="str">
        <x:v>Program direction</x:v>
      </x:c>
    </x:row>
    <x:row r="12" ht="15" hidden="0" customHeight="1">
      <x:c r="A12" s="170" t="str">
        <x:v>Goal</x:v>
      </x:c>
      <x:c r="B12" s="170" t="str">
        <x:v>Target timeframe</x:v>
      </x:c>
      <x:c r="C12" s="170" t="str">
        <x:v>3-4 months; no fixed event</x:v>
      </x:c>
      <x:c r="D12" s="170" t="str">
        <x:v>Known</x:v>
      </x:c>
      <x:c r="E12" s="170" t="str">
        <x:v>Use gradual, performance-preserving progress</x:v>
      </x:c>
    </x:row>
    <x:row r="13" ht="39.599998474121094" hidden="0" customHeight="1">
      <x:c r="A13" s="170" t="str">
        <x:v>Lifestyle</x:v>
      </x:c>
      <x:c r="B13" s="170" t="str">
        <x:v>Sleep schedule</x:v>
      </x:c>
      <x:c r="C13" s="170" t="str">
        <x:v>Usual schedule reported as ~02:00 to 09:30 (~7.5 h) and sleep can be challenging. On the 2026-08-09 rest day with no EAA+, Vipin slept ~23:30 to 08:00 (~8.5 h) and woke fresh on 2026-08-10.</x:v>
      </x:c>
      <x:c r="D13" s="170" t="str">
        <x:v>Partial</x:v>
      </x:c>
      <x:c r="E13" s="170" t="str">
        <x:v>Continue recording bedtime, wake time, awakenings and morning freshness; compare workout and rest days rather than drawing a conclusion from one night</x:v>
      </x:c>
    </x:row>
    <x:row r="14" ht="15" hidden="0" customHeight="1">
      <x:c r="A14" s="170" t="str">
        <x:v>Lifestyle</x:v>
      </x:c>
      <x:c r="B14" s="170" t="str">
        <x:v>Work schedule and activity</x:v>
      </x:c>
      <x:c r="C14" s="170" t="str">
        <x:v>Work from home ~10:30-20:30; mostly sitting; standing desk available</x:v>
      </x:c>
      <x:c r="D14" s="170" t="str">
        <x:v>Known</x:v>
      </x:c>
      <x:c r="E14" s="170" t="str">
        <x:v>Add movement breaks and verify steps</x:v>
      </x:c>
    </x:row>
    <x:row r="15" ht="15" hidden="0" customHeight="1">
      <x:c r="A15" s="170" t="str">
        <x:v>Lifestyle</x:v>
      </x:c>
      <x:c r="B15" s="170" t="str">
        <x:v>Average daily steps</x:v>
      </x:c>
      <x:c r="C15" s="170" t="str">
        <x:v>To verify</x:v>
      </x:c>
      <x:c r="D15" s="170" t="str">
        <x:v>To verify</x:v>
      </x:c>
      <x:c r="E15" s="170" t="str">
        <x:v>Needed for activity and calorie planning</x:v>
      </x:c>
    </x:row>
    <x:row r="16" ht="15" hidden="0" customHeight="1">
      <x:c r="A16" s="170" t="str">
        <x:v>Lifestyle</x:v>
      </x:c>
      <x:c r="B16" s="170" t="str">
        <x:v>Stress level and travel pattern</x:v>
      </x:c>
      <x:c r="C16" s="170" t="str">
        <x:v>To verify</x:v>
      </x:c>
      <x:c r="D16" s="170" t="str">
        <x:v>To verify</x:v>
      </x:c>
      <x:c r="E16" s="170" t="str">
        <x:v>Recovery and adherence planning</x:v>
      </x:c>
    </x:row>
    <x:row r="17" ht="15" hidden="0" customHeight="1">
      <x:c r="A17" s="170" t="str">
        <x:v>Lifestyle</x:v>
      </x:c>
      <x:c r="B17" s="170" t="str">
        <x:v>Typical water intake</x:v>
      </x:c>
      <x:c r="C17" s="170" t="str">
        <x:v>3-4 L/day reported</x:v>
      </x:c>
      <x:c r="D17" s="170" t="str">
        <x:v>Known</x:v>
      </x:c>
      <x:c r="E17" s="170" t="str">
        <x:v>Log actual intake when practical</x:v>
      </x:c>
    </x:row>
    <x:row r="18" ht="15" hidden="0" customHeight="1">
      <x:c r="A18" s="170" t="str">
        <x:v>Training</x:v>
      </x:c>
      <x:c r="B18" s="170" t="str">
        <x:v>Usual gym time</x:v>
      </x:c>
      <x:c r="C18" s="170" t="str">
        <x:v>Around 21:00 because work ends around 20:30</x:v>
      </x:c>
      <x:c r="D18" s="170" t="str">
        <x:v>Known</x:v>
      </x:c>
      <x:c r="E18" s="170" t="str">
        <x:v>Late-session nutrition and stimulant planning</x:v>
      </x:c>
    </x:row>
    <x:row r="19" ht="15" hidden="0" customHeight="1">
      <x:c r="A19" s="170" t="str">
        <x:v>Training</x:v>
      </x:c>
      <x:c r="B19" s="170" t="str">
        <x:v>Available workout duration</x:v>
      </x:c>
      <x:c r="C19" s="170" t="str">
        <x:v>About 1 hour 30 minutes total</x:v>
      </x:c>
      <x:c r="D19" s="170" t="str">
        <x:v>Known</x:v>
      </x:c>
      <x:c r="E19" s="170" t="str">
        <x:v>Controls exercise and set selection</x:v>
      </x:c>
    </x:row>
    <x:row r="20" ht="15" hidden="0" customHeight="1">
      <x:c r="A20" s="170" t="str">
        <x:v>Training</x:v>
      </x:c>
      <x:c r="B20" s="170" t="str">
        <x:v>Gym equipment limitations</x:v>
      </x:c>
      <x:c r="C20" s="170" t="str">
        <x:v>No equipment limitations reported</x:v>
      </x:c>
      <x:c r="D20" s="170" t="str">
        <x:v>Known</x:v>
      </x:c>
      <x:c r="E20" s="170" t="str">
        <x:v>Recommendations can use full commercial-gym options</x:v>
      </x:c>
    </x:row>
    <x:row r="21" ht="39.599998474121094" hidden="0" customHeight="1">
      <x:c r="A21" s="170" t="str">
        <x:v>Training</x:v>
      </x:c>
      <x:c r="B21" s="170" t="str">
        <x:v>Current sequence</x:v>
      </x:c>
      <x:c r="C21" s="170" t="str">
        <x:v>Active six-day split: Mon Chest+Triceps; Tue Back+Biceps; Wed Shoulders+Triceps; Thu Legs+Calves; Fri Chest+Shoulders; Sat Back+Biceps; Sun rest. Monday through Friday completed this week.</x:v>
      </x:c>
      <x:c r="D21" s="170" t="str">
        <x:v>Known / active four-week block</x:v>
      </x:c>
      <x:c r="E21" s="170" t="str">
        <x:v>Back + Biceps only after recovery threshold; 16 working-set cap and no cardio</x:v>
      </x:c>
    </x:row>
    <x:row r="22" ht="15" hidden="0" customHeight="1">
      <x:c r="A22" s="170" t="str">
        <x:v>Training</x:v>
      </x:c>
      <x:c r="B22" s="170" t="str">
        <x:v>Training history and recent consistency</x:v>
      </x:c>
      <x:c r="C22" s="170" t="str">
        <x:v>Returned to regular training; Phase 2 tracking</x:v>
      </x:c>
      <x:c r="D22" s="170" t="str">
        <x:v>Partial</x:v>
      </x:c>
      <x:c r="E22" s="170" t="str">
        <x:v>Progress conservatively while baseline is completed</x:v>
      </x:c>
    </x:row>
    <x:row r="23" ht="26.399999618530273" hidden="0" customHeight="1">
      <x:c r="A23" s="170" t="str">
        <x:v>Nutrition</x:v>
      </x:c>
      <x:c r="B23" s="170" t="str">
        <x:v>Dietary pattern</x:v>
      </x:c>
      <x:c r="C23" s="170" t="str">
        <x:v>Eggs introduced on 2026-08-24 after prior lacto-vegetarian pattern; exact intake and preparation To verify. Milk, yogurt and whey remain in use; other non-vegetarian foods avoided.</x:v>
      </x:c>
      <x:c r="D23" s="170" t="str">
        <x:v>Partial / To verify</x:v>
      </x:c>
      <x:c r="E23" s="170" t="str">
        <x:v>Confirm whether 2 whole + 2 whites replaces the tofu sandwich and how often</x:v>
      </x:c>
    </x:row>
    <x:row r="24" ht="15" hidden="0" customHeight="1">
      <x:c r="A24" s="170" t="str">
        <x:v>Nutrition</x:v>
      </x:c>
      <x:c r="B24" s="170" t="str">
        <x:v>Allergies or intolerances</x:v>
      </x:c>
      <x:c r="C24" s="170" t="str">
        <x:v>None reported</x:v>
      </x:c>
      <x:c r="D24" s="170" t="str">
        <x:v>Known</x:v>
      </x:c>
      <x:c r="E24" s="170" t="str">
        <x:v>Reconfirm if symptoms emerge</x:v>
      </x:c>
    </x:row>
    <x:row r="25" ht="15" hidden="0" customHeight="1">
      <x:c r="A25" s="170" t="str">
        <x:v>Nutrition</x:v>
      </x:c>
      <x:c r="B25" s="170" t="str">
        <x:v>Foods avoided</x:v>
      </x:c>
      <x:c r="C25" s="170" t="str">
        <x:v>Non-vegetarian foods other than newly introduced eggs; no added sugar; tea stopped; black coffee used selectively</x:v>
      </x:c>
      <x:c r="D25" s="170" t="str">
        <x:v>Partial</x:v>
      </x:c>
      <x:c r="E25" s="170" t="str">
        <x:v>Confirm egg frequency and preparation</x:v>
      </x:c>
    </x:row>
    <x:row r="26" ht="39.599998474121094" hidden="0" customHeight="1">
      <x:c r="A26" s="170" t="str">
        <x:v>Nutrition</x:v>
      </x:c>
      <x:c r="B26" s="170" t="str">
        <x:v>Meal plan and timing</x:v>
      </x:c>
      <x:c r="C26" s="170" t="str">
        <x:v>Current full-day meal pattern recorded in Nutrition Plan. Quantified minimum is 113.60 g/day after reported yogurt updates: lunch 17 g and dinner 15 g.</x:v>
      </x:c>
      <x:c r="D26" s="170" t="str">
        <x:v>Partial</x:v>
      </x:c>
      <x:c r="E26" s="170" t="str">
        <x:v>Quantify cooked lentils next, then sabji; yogurt labels/serving weights remain To verify</x:v>
      </x:c>
    </x:row>
    <x:row r="27" ht="66" hidden="0" customHeight="1">
      <x:c r="A27" s="170" t="str">
        <x:v>Nutrition</x:v>
      </x:c>
      <x:c r="B27" s="170" t="str">
        <x:v>Supplements currently used</x:v>
      </x:c>
      <x:c r="C27" s="170" t="str">
        <x:v>MuscleTech multivitamin; fish oil; MuscleTech EAA+ Energy now reported as half scoop; unidentified pre-workout reported as half scoop; Ultimate Nutrition Prostar whey post-workout; Run Nutrition yeast whey at breakfast; Kapiva shilajit 500 mg after lunch; creatine monohydrate started 2026-09-04 at one stated 3 g scoop post-workout. Magnesium glycinate planned but not started.</x:v>
      </x:c>
      <x:c r="D27" s="170" t="str">
        <x:v>Partial / To verify</x:v>
      </x:c>
      <x:c r="E27" s="170" t="str">
        <x:v>Obtain pre-workout, creatine and magnesium labels; verify elemental magnesium and all stimulant ingredients</x:v>
      </x:c>
    </x:row>
    <x:row r="28" ht="39.599998474121094" hidden="0" customHeight="1">
      <x:c r="A28" s="170" t="str">
        <x:v>Nutrition</x:v>
      </x:c>
      <x:c r="B28" s="170" t="str">
        <x:v>Late caffeine exposure</x:v>
      </x:c>
      <x:c r="C28" s="170" t="str">
        <x:v>On 2026-09-04, half EAA+ supplied approximately 50 mg label-derived caffeine and half pre-workout supplied approximately 100 mg according to the unverified product claim; no coffee. Estimated total approximately 150 mg.</x:v>
      </x:c>
      <x:c r="D28" s="170" t="str">
        <x:v>Partial / To verify</x:v>
      </x:c>
      <x:c r="E28" s="170" t="str">
        <x:v>Track sleep response and avoid treating two caffeine products as the standing routine until the pre-workout label is reviewed</x:v>
      </x:c>
    </x:row>
    <x:row r="29" ht="39.599998474121094" hidden="0" customHeight="1">
      <x:c r="A29" s="170" t="str">
        <x:v>Lifestyle</x:v>
      </x:c>
      <x:c r="B29" s="170" t="str">
        <x:v>Smoking and alcohol</x:v>
      </x:c>
      <x:c r="C29" s="170" t="str">
        <x:v>Stopped smoking about one month ago.
Alcohol only socially on some weekends; last drink about three weeks before 2026-08-07.</x:v>
      </x:c>
      <x:c r="D29" s="170" t="str">
        <x:v>Known</x:v>
      </x:c>
      <x:c r="E29" s="170" t="str">
        <x:v>Continue tracking only if it affects sleep/recovery</x:v>
      </x:c>
    </x:row>
    <x:row r="30" ht="26.399999618530273" hidden="0" customHeight="1">
      <x:c r="A30" s="170" t="str">
        <x:v>Measurements</x:v>
      </x:c>
      <x:c r="B30" s="170" t="str">
        <x:v>Waist and verified morning weight</x:v>
      </x:c>
      <x:c r="C30" s="170" t="str">
        <x:v>2026-08-23 check-in: 87.7 kg and 38 in at navel (96.5 cm), before food/drink; no morning bowel movement because bowel movement occurred around midnight. Repeated scale readings 87.6-87.7 kg.</x:v>
      </x:c>
      <x:c r="D30" s="170" t="str">
        <x:v>Known with protocol note</x:v>
      </x:c>
      <x:c r="E30" s="170" t="str">
        <x:v>Use seven-day weight average and repeat Sunday waist under matching conditions</x:v>
      </x:c>
    </x:row>
    <x:row r="31" ht="15" hidden="0" customHeight="1">
      <x:c r="A31" s="170" t="str">
        <x:v>Photos</x:v>
      </x:c>
      <x:c r="B31" s="170" t="str">
        <x:v>Current progress photos</x:v>
      </x:c>
      <x:c r="C31" s="170" t="str">
        <x:v>User can share current photos; files and standardized conditions pending</x:v>
      </x:c>
      <x:c r="D31" s="170" t="str">
        <x:v>To verify</x:v>
      </x:c>
      <x:c r="E31" s="170" t="str">
        <x:v>Front, side and back under consistent lighting and posture</x:v>
      </x:c>
    </x:row>
  </x:sheetData>
  <x:mergeCells>
    <x:mergeCell ref="A1:E2"/>
    <x:mergeCell ref="A3:E3"/>
  </x:mergeCells>
  <x:conditionalFormatting sqref="D5:D23">
    <x:cfRule type="containsText" dxfId="5" priority="1" operator="containsText" text="Known"/>
    <x:cfRule type="containsText" dxfId="6" priority="2" operator="containsText" text="Partial"/>
    <x:cfRule type="containsText" dxfId="7" priority="3" operator="containsText" text="To verify"/>
  </x:conditionalFormatting>
  <x:conditionalFormatting sqref="D5:D31">
    <x:cfRule type="containsText" dxfId="8" priority="4" operator="containsText" text="Known"/>
    <x:cfRule type="containsText" dxfId="9" priority="5" operator="containsText" text="Partial"/>
    <x:cfRule type="containsText" dxfId="10" priority="6" operator="containsText" text="To verify"/>
  </x:conditionalFormatting>
  <x:dataValidations count="2">
    <x:dataValidation type="list" sqref="D5:D23">
      <x:formula1>"Known,Partial,To verify"</x:formula1>
    </x:dataValidation>
    <x:dataValidation type="list" sqref="D5:D31">
      <x:formula1>"Known,Partial,To verify"</x:formula1>
    </x:dataValidation>
  </x:dataValidations>
  <x:pageMargins left="0.7" right="0.7" top="0.75" bottom="0.75" header="0.3" footer="0.3"/>
  <x:tableParts count="1">
    <x:tablePart xmlns:r="http://schemas.openxmlformats.org/officeDocument/2006/relationships" r:id="Rce14ab8a42494e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50" hidden="0" customWidth="1"/>
    <x:col min="4" max="4" width="17" hidden="0" customWidth="1"/>
    <x:col min="5" max="5" width="17" hidden="0" customWidth="1"/>
    <x:col min="6" max="6" width="18" hidden="0" customWidth="1"/>
    <x:col min="7" max="7" width="36" hidden="0" customWidth="1"/>
    <x:col min="8" max="8" width="40" hidden="0" customWidth="1"/>
  </x:cols>
  <x:sheetData>
    <x:row r="1" ht="28" customHeight="1">
      <x:c r="A1" s="177" t="str">
        <x:v>Vegetarian Nutrition Plan &amp; Daily Adherence</x:v>
      </x:c>
      <x:c r="B1" s="177" t="str">
        <x:v>Vegetarian Nutrition Plan &amp; Daily Adherence</x:v>
      </x:c>
      <x:c r="C1" s="177" t="str">
        <x:v>Vegetarian Nutrition Plan &amp; Daily Adherence</x:v>
      </x:c>
      <x:c r="D1" s="177" t="str">
        <x:v>Vegetarian Nutrition Plan &amp; Daily Adherence</x:v>
      </x:c>
      <x:c r="E1" s="177" t="str">
        <x:v>Vegetarian Nutrition Plan &amp; Daily Adherence</x:v>
      </x:c>
      <x:c r="F1" s="177" t="str">
        <x:v>Vegetarian Nutrition Plan &amp; Daily Adherence</x:v>
      </x:c>
      <x:c r="G1" s="177" t="str">
        <x:v>Vegetarian Nutrition Plan &amp; Daily Adherence</x:v>
      </x:c>
      <x:c r="H1" s="177" t="str">
        <x:v>Vegetarian Nutrition Plan &amp; Daily Adherence</x:v>
      </x:c>
    </x:row>
    <x:row r="2" ht="28" customHeight="1">
      <x:c r="A2" s="173" t="str">
        <x:v>Vegetarian Nutrition Plan &amp; Daily Adherence</x:v>
      </x:c>
      <x:c r="B2" s="173" t="str">
        <x:v>Vegetarian Nutrition Plan &amp; Daily Adherence</x:v>
      </x:c>
      <x:c r="C2" s="173" t="str">
        <x:v>Vegetarian Nutrition Plan &amp; Daily Adherence</x:v>
      </x:c>
      <x:c r="D2" s="173" t="str">
        <x:v>Vegetarian Nutrition Plan &amp; Daily Adherence</x:v>
      </x:c>
      <x:c r="E2" s="173" t="str">
        <x:v>Vegetarian Nutrition Plan &amp; Daily Adherence</x:v>
      </x:c>
      <x:c r="F2" s="173" t="str">
        <x:v>Vegetarian Nutrition Plan &amp; Daily Adherence</x:v>
      </x:c>
      <x:c r="G2" s="173" t="str">
        <x:v>Vegetarian Nutrition Plan &amp; Daily Adherence</x:v>
      </x:c>
      <x:c r="H2" s="173" t="str">
        <x:v>Vegetarian Nutrition Plan &amp; Daily Adherence</x:v>
      </x:c>
    </x:row>
    <x:row r="4" ht="15" hidden="0" customHeight="1">
      <x:c r="A4" s="224" t="str">
        <x:v>Working Guidance - Quantities and Product Labels Still to Verify</x:v>
      </x:c>
      <x:c r="B4" s="224" t="str">
        <x:v>Working Guidance - Quantities and Product Labels Still to Verify</x:v>
      </x:c>
      <x:c r="C4" s="224" t="str">
        <x:v>Working Guidance - Quantities and Product Labels Still to Verify</x:v>
      </x:c>
      <x:c r="D4" s="224" t="str">
        <x:v>Working Guidance - Quantities and Product Labels Still to Verify</x:v>
      </x:c>
      <x:c r="E4" s="224" t="str">
        <x:v>Working Guidance - Quantities and Product Labels Still to Verify</x:v>
      </x:c>
      <x:c r="F4" s="224" t="str">
        <x:v>Working Guidance - Quantities and Product Labels Still to Verify</x:v>
      </x:c>
      <x:c r="G4" s="224" t="str">
        <x:v>Working Guidance - Quantities and Product Labels Still to Verify</x:v>
      </x:c>
      <x:c r="H4" s="224" t="str">
        <x:v>Working Guidance - Quantities and Product Labels Still to Verify</x:v>
      </x:c>
    </x:row>
    <x:row r="5" ht="15" hidden="0" customHeight="1">
      <x:c r="A5" s="225" t="str">
        <x:v>Item</x:v>
      </x:c>
      <x:c r="B5" s="226" t="str">
        <x:v>Current Guidance</x:v>
      </x:c>
      <x:c r="C5" s="226" t="str">
        <x:v>Status</x:v>
      </x:c>
      <x:c r="D5" s="226" t="str">
        <x:v>Current Evidence</x:v>
      </x:c>
      <x:c r="E5" s="226" t="str">
        <x:v>Main Unknown</x:v>
      </x:c>
      <x:c r="F5" s="226" t="str">
        <x:v>Coach Action</x:v>
      </x:c>
      <x:c r="G5" s="226" t="str">
        <x:v>Review Trigger</x:v>
      </x:c>
      <x:c r="H5" s="227" t="str">
        <x:v>Notes</x:v>
      </x:c>
    </x:row>
    <x:row r="6" ht="79.19999694824219" hidden="0" customHeight="1">
      <x:c r="A6" s="147" t="str">
        <x:v>Protein</x:v>
      </x:c>
      <x:c r="B6" s="150" t="str">
        <x:v>140-170 g/day provisional working range</x:v>
      </x:c>
      <x:c r="C6" s="150" t="str">
        <x:v>Partial</x:v>
      </x:c>
      <x:c r="D6" s="150" t="str">
        <x:v>113.60 g/day quantified minimum; eggs introduced but actual intake is not yet confirmed</x:v>
      </x:c>
      <x:c r="E6" s="150" t="str">
        <x:v>Protein from eggs, sabji, fruit, lentils and salad; ghee calories</x:v>
      </x:c>
      <x:c r="F6" s="150" t="str">
        <x:v>Confirm actual egg intake, then quantify cooked lentils and sabji</x:v>
      </x:c>
      <x:c r="G6" s="150" t="str">
        <x:v>7-day intake log plus Sunday trend</x:v>
      </x:c>
      <x:c r="H6" s="152" t="str">
        <x:v>Do not count EAA grams as dietary protein; do not add provisional egg protein until confirmed</x:v>
      </x:c>
    </x:row>
    <x:row r="7" ht="39.599998474121094" hidden="0" customHeight="1">
      <x:c r="A7" s="153" t="str">
        <x:v>Calories</x:v>
      </x:c>
      <x:c r="B7" s="156" t="str">
        <x:v>Not assigned</x:v>
      </x:c>
      <x:c r="C7" s="156" t="str">
        <x:v>To verify</x:v>
      </x:c>
      <x:c r="D7" s="156" t="str">
        <x:v>Food pattern is known</x:v>
      </x:c>
      <x:c r="E7" s="156" t="str">
        <x:v>Portions, cooking oil, brands and 2-3 weeks of weight/waist trend</x:v>
      </x:c>
      <x:c r="F7" s="156" t="str">
        <x:v>Keep intake consistent; calculate only after quantities are supplied</x:v>
      </x:c>
      <x:c r="G7" s="156" t="str">
        <x:v>At least 2 weeks of reliable data</x:v>
      </x:c>
      <x:c r="H7" s="158" t="str">
        <x:v>No crash diet</x:v>
      </x:c>
    </x:row>
    <x:row r="8" ht="52.79999923706055" hidden="0" customHeight="1">
      <x:c r="A8" s="153" t="str">
        <x:v>Diet pattern</x:v>
      </x:c>
      <x:c r="B8" s="156" t="str">
        <x:v>Eggs introduced; prior lacto-vegetarian pattern updated</x:v>
      </x:c>
      <x:c r="C8" s="156" t="str">
        <x:v>Partial / To verify</x:v>
      </x:c>
      <x:c r="D8" s="156" t="str">
        <x:v>Vipin reported starting eggs on 2026-08-24; milk, yogurt and whey remain in use</x:v>
      </x:c>
      <x:c r="E8" s="156" t="str">
        <x:v>Exact egg count, whole/white split, preparation, frequency and whether sandwich is replaced</x:v>
      </x:c>
      <x:c r="F8" s="156" t="str">
        <x:v>Recommended 2 whole eggs + 2 whites replacing the tofu sandwich; do not add eggs to every meal</x:v>
      </x:c>
      <x:c r="G8" s="156" t="str">
        <x:v>Confirm actual intake before changing protein subtotal</x:v>
      </x:c>
      <x:c r="H8" s="158" t="str">
        <x:v>Alternative: 3 whole eggs when separating whites is inconvenient</x:v>
      </x:c>
    </x:row>
    <x:row r="9" ht="39.599998474121094" hidden="0" customHeight="1">
      <x:c r="A9" s="153" t="str">
        <x:v>Hydration</x:v>
      </x:c>
      <x:c r="B9" s="156" t="str">
        <x:v>3-4 L/day reported</x:v>
      </x:c>
      <x:c r="C9" s="156" t="str">
        <x:v>Active</x:v>
      </x:c>
      <x:c r="D9" s="156" t="str">
        <x:v>User-reported typical intake</x:v>
      </x:c>
      <x:c r="E9" s="156" t="str">
        <x:v>Actual training-day and rest-day consistency</x:v>
      </x:c>
      <x:c r="F9" s="156" t="str">
        <x:v>Log water in the daily tracker</x:v>
      </x:c>
      <x:c r="G9" s="156" t="str">
        <x:v>Weekly review</x:v>
      </x:c>
      <x:c r="H9" s="158" t="str">
        <x:v>Adjust for heat and sweat; avoid forcing excessive water</x:v>
      </x:c>
    </x:row>
    <x:row r="10" ht="105.5999984741211" hidden="0" customHeight="1">
      <x:c r="A10" s="153" t="str">
        <x:v>Caffeine / sleep</x:v>
      </x:c>
      <x:c r="B10" s="156" t="str">
        <x:v>Approximately 150 mg on 2026-09-04 from half EAA+ plus half pre-workout; no coffee</x:v>
      </x:c>
      <x:c r="C10" s="156" t="str">
        <x:v>Partial / To verify</x:v>
      </x:c>
      <x:c r="D10" s="156" t="str">
        <x:v>EAA label confirms 100 mg per full scoop, so half is approximately 50 mg. Pre-workout full-scoop 200 mg and half-scoop 100 mg are user-stated only.</x:v>
      </x:c>
      <x:c r="E10" s="156" t="str">
        <x:v>Pre-workout product, full ingredient panel, serving mass, other stimulants and exact dose</x:v>
      </x:c>
      <x:c r="F10" s="156" t="str">
        <x:v>Prefer one caffeine source for late training; collect several sleep nights before judging tolerance</x:v>
      </x:c>
      <x:c r="G10" s="156" t="str">
        <x:v>Pre-workout label review plus 5-7 comparable sleep nights</x:v>
      </x:c>
      <x:c r="H10" s="158" t="str">
        <x:v>Late caffeine remains the main modifiable sleep variable; FDA source https://www.fda.gov/consumers/consumer-updates/spilling-beans-how-much-caffeine-too-much</x:v>
      </x:c>
    </x:row>
    <x:row r="11" ht="52.79999923706055" hidden="0" customHeight="1">
      <x:c r="A11" s="153" t="str">
        <x:v>Meal timing</x:v>
      </x:c>
      <x:c r="B11" s="156" t="str">
        <x:v>Late-workout structure is usable</x:v>
      </x:c>
      <x:c r="C11" s="156" t="str">
        <x:v>Partial</x:v>
      </x:c>
      <x:c r="D11" s="156" t="str">
        <x:v>Pre-, intra-, post-workout and dinner pattern reported</x:v>
      </x:c>
      <x:c r="E11" s="156" t="str">
        <x:v>Exact times and portions</x:v>
      </x:c>
      <x:c r="F11" s="156" t="str">
        <x:v>Keep pre-workout food digestible and quantify the plan</x:v>
      </x:c>
      <x:c r="G11" s="156" t="str">
        <x:v>Training comfort and sleep</x:v>
      </x:c>
      <x:c r="H11" s="158" t="str">
        <x:v>Dinner timing should not compromise sleep comfort</x:v>
      </x:c>
    </x:row>
    <x:row r="12" ht="92.4000015258789" hidden="0" customHeight="1">
      <x:c r="A12" s="159" t="str">
        <x:v>Supplements</x:v>
      </x:c>
      <x:c r="B12" s="162" t="str">
        <x:v>Creatine monohydrate active at 3 g/day reported; half EAA+ active on 2026-09-04; pre-workout and magnesium labels pending</x:v>
      </x:c>
      <x:c r="C12" s="162" t="str">
        <x:v>Partial / To verify</x:v>
      </x:c>
      <x:c r="D12" s="162" t="str">
        <x:v>Creatine first dose confirmed post-workout 2026-09-04. EAA label verified. Magnesium glycinate planned only.</x:v>
      </x:c>
      <x:c r="E12" s="162" t="str">
        <x:v>Creatine scoop accuracy/product label; pre-workout label; magnesium elemental dose; multivitamin magnesium</x:v>
      </x:c>
      <x:c r="F12" s="162" t="str">
        <x:v>Continue creatine 3 g daily; review stimulant and magnesium labels before finalizing routine</x:v>
      </x:c>
      <x:c r="G12" s="162" t="str">
        <x:v>Daily creatine adherence, sleep response and label review</x:v>
      </x:c>
      <x:c r="H12" s="164" t="str">
        <x:v>NIH creatine source https://ods.od.nih.gov/factsheets/ExerciseAndAthleticPerformance-HealthProfessional/; NIH magnesium source https://ods.od.nih.gov/factsheets/Magnesium-HealthProfessional/</x:v>
      </x:c>
    </x:row>
    <x:row r="13" ht="15" hidden="0" customHeight="1">
      <x:c r="A13" s="170"/>
      <x:c r="B13" s="170"/>
      <x:c r="C13" s="170"/>
      <x:c r="D13" s="170"/>
      <x:c r="E13" s="170"/>
      <x:c r="F13" s="170"/>
      <x:c r="G13" s="170"/>
      <x:c r="H13" s="170"/>
    </x:row>
    <x:row r="14" ht="15" hidden="0" customHeight="1">
      <x:c r="A14" s="224" t="str">
        <x:v>Current Meal Plan - Reported 2026-08-07</x:v>
      </x:c>
      <x:c r="B14" s="224" t="str">
        <x:v>Current Meal Plan - Reported 2026-08-07</x:v>
      </x:c>
      <x:c r="C14" s="224" t="str">
        <x:v>Current Meal Plan - Reported 2026-08-07</x:v>
      </x:c>
      <x:c r="D14" s="224" t="str">
        <x:v>Current Meal Plan - Reported 2026-08-07</x:v>
      </x:c>
      <x:c r="E14" s="224" t="str">
        <x:v>Current Meal Plan - Reported 2026-08-07</x:v>
      </x:c>
      <x:c r="F14" s="224" t="str">
        <x:v>Current Meal Plan - Reported 2026-08-07</x:v>
      </x:c>
      <x:c r="G14" s="224" t="str">
        <x:v>Current Meal Plan - Reported 2026-08-07</x:v>
      </x:c>
      <x:c r="H14" s="224" t="str">
        <x:v>Current Meal Plan - Reported 2026-08-07</x:v>
      </x:c>
    </x:row>
    <x:row r="15" ht="15" hidden="0" customHeight="1">
      <x:c r="A15" s="170" t="str">
        <x:v>Meal</x:v>
      </x:c>
      <x:c r="B15" s="170" t="str">
        <x:v>Typical Time</x:v>
      </x:c>
      <x:c r="C15" s="170" t="str">
        <x:v>Foods / Portions</x:v>
      </x:c>
      <x:c r="D15" s="170" t="str">
        <x:v>Explicit Protein (g)</x:v>
      </x:c>
      <x:c r="E15" s="170" t="str">
        <x:v>Calories</x:v>
      </x:c>
      <x:c r="F15" s="170" t="str">
        <x:v>Status</x:v>
      </x:c>
      <x:c r="G15" s="170" t="str">
        <x:v>To Verify</x:v>
      </x:c>
      <x:c r="H15" s="170" t="str">
        <x:v>Coach Notes</x:v>
      </x:c>
    </x:row>
    <x:row r="16" ht="66" hidden="0" customHeight="1">
      <x:c r="A16" s="170" t="str">
        <x:v>Breakfast</x:v>
      </x:c>
      <x:c r="B16" s="170" t="str">
        <x:v>After waking;
exact time to verify</x:v>
      </x:c>
      <x:c r="C16" s="170" t="str">
        <x:v>1 scoop Run Nutrition yeast whey (26 g protein)
60 g Kellogg's Muesli Nuts Delight
200 mL milk from supplied label; exact toned/full-cream variant To verify
Multivitamin and fish oil</x:v>
      </x:c>
      <x:c r="D16" s="371" t="n">
        <x:f>SUM('Protein Calculator'!$G$6:$G$8)</x:f>
        <x:v>36.980000000000004</x:v>
      </x:c>
      <x:c r="E16" s="170"/>
      <x:c r="F16" s="170" t="str">
        <x:v>Partial</x:v>
      </x:c>
      <x:c r="G16" s="170" t="str">
        <x:v>Exact milk variant and remaining supplement labels</x:v>
      </x:c>
      <x:c r="H16" s="170" t="str">
        <x:v>Known breakfast: 36.98 g (26 g whey + 4.98 g muesli + approximately 6.0 g milk).</x:v>
      </x:c>
    </x:row>
    <x:row r="17" ht="15" hidden="0" customHeight="1">
      <x:c r="A17" s="170" t="str">
        <x:v>Mid-morning / optional</x:v>
      </x:c>
      <x:c r="B17" s="170" t="str">
        <x:v>Not reported</x:v>
      </x:c>
      <x:c r="C17" s="170" t="str">
        <x:v>No regular item reported</x:v>
      </x:c>
      <x:c r="D17" s="371"/>
      <x:c r="E17" s="170"/>
      <x:c r="F17" s="170" t="str">
        <x:v>To verify</x:v>
      </x:c>
      <x:c r="G17" s="170" t="str">
        <x:v>Whether anything is eaten or drunk</x:v>
      </x:c>
      <x:c r="H17" s="170" t="str">
        <x:v>Leave blank rather than infer</x:v>
      </x:c>
    </x:row>
    <x:row r="18" ht="26.399999618530273" hidden="0" customHeight="1">
      <x:c r="A18" s="170" t="str">
        <x:v>Lunch</x:v>
      </x:c>
      <x:c r="B18" s="170" t="str">
        <x:v>During workday;
exact time to verify</x:v>
      </x:c>
      <x:c r="C18" s="170" t="str">
        <x:v>3 rotis with sabji; Epigamia Turbo yogurt (17 g protein reported)
Kapiva shilajit 500 mg after lunch</x:v>
      </x:c>
      <x:c r="D18" s="371" t="n">
        <x:v>27.63125</x:v>
      </x:c>
      <x:c r="E18" s="170"/>
      <x:c r="F18" s="170" t="str">
        <x:v>Partial</x:v>
      </x:c>
      <x:c r="G18" s="170" t="str">
        <x:v>Sabji quantity/oil; ghee amount/frequency; yogurt serving weight/label</x:v>
      </x:c>
      <x:c r="H18" s="170" t="str">
        <x:v>3 rotis = 101.25 g dry atta and 10.63 g protein. Lunch known minimum = 27.63 g including reported 17 g yogurt.</x:v>
      </x:c>
    </x:row>
    <x:row r="19" ht="39.599998474121094" hidden="0" customHeight="1">
      <x:c r="A19" s="170" t="str">
        <x:v>Evening snack</x:v>
      </x:c>
      <x:c r="B19" s="170" t="str">
        <x:v>Before evening workout;
exact time to verify</x:v>
      </x:c>
      <x:c r="C19" s="170" t="str">
        <x:v>Some fruit, not daily
One tofu sandwich: 29 g tofu and two whole-wheat bread slices</x:v>
      </x:c>
      <x:c r="D19" s="371" t="n">
        <x:f>SUM('Protein Calculator'!$G$13:$G$14)</x:f>
        <x:v>8.9851</x:v>
      </x:c>
      <x:c r="E19" s="170"/>
      <x:c r="F19" s="170" t="str">
        <x:v>Partial</x:v>
      </x:c>
      <x:c r="G19" s="170" t="str">
        <x:v>Whether egg option replaces sandwich; exact egg count/preparation; spreads/oil and fruit frequency</x:v>
      </x:c>
      <x:c r="H19" s="170" t="str">
        <x:v>Current confirmed sandwich remains quantified at 8.99 g protein. Proposed cutting substitution is 2 whole eggs + 2 whites; do not count until actual intake is confirmed.</x:v>
      </x:c>
    </x:row>
    <x:row r="20" ht="52.79999923706055" hidden="0" customHeight="1">
      <x:c r="A20" s="170" t="str">
        <x:v>Pre-workout</x:v>
      </x:c>
      <x:c r="B20" s="170" t="str">
        <x:v>Before ~21:00 workout</x:v>
      </x:c>
      <x:c r="C20" s="170" t="str">
        <x:v>MuscleTech EAA+ Energy, Sour Apple; current reported workout amount changed to half scoop on 2026-09-04</x:v>
      </x:c>
      <x:c r="D20" s="371"/>
      <x:c r="E20" s="170" t="str">
        <x:v>Partial</x:v>
      </x:c>
      <x:c r="F20" s="170" t="str">
        <x:v>Exact half-scoop powder weight and whether this remains the standing routine</x:v>
      </x:c>
      <x:c r="G20" s="170" t="str">
        <x:v>Half of the verified full serving is approximately 3.745 g EAAs and 50 mg caffeine; do not count as dietary protein</x:v>
      </x:c>
      <x:c r="H20" s="170" t="str">
        <x:v>Do not combine routinely with another caffeinated product until its label is reviewed</x:v>
      </x:c>
    </x:row>
    <x:row r="21" ht="52.79999923706055" hidden="0" customHeight="1">
      <x:c r="A21" s="170" t="str">
        <x:v>During workout</x:v>
      </x:c>
      <x:c r="B21" s="170" t="str">
        <x:v>During ~21:00 workout</x:v>
      </x:c>
      <x:c r="C21" s="170" t="str">
        <x:v>Ultimate Nutrition Prostar whey (25 g protein) plus one stated 3 g scoop creatine monohydrate after training</x:v>
      </x:c>
      <x:c r="D21" s="371" t="n">
        <x:v>25</x:v>
      </x:c>
      <x:c r="E21" s="170" t="str">
        <x:v>Partial / To verify</x:v>
      </x:c>
      <x:c r="F21" s="170" t="str">
        <x:v>Exact whey serving/label; creatine product label and scoop accuracy</x:v>
      </x:c>
      <x:c r="G21" s="170" t="str">
        <x:v>Continue 3 g creatine daily, including rest days</x:v>
      </x:c>
      <x:c r="H21" s="170" t="str">
        <x:v>Creatine began 2026-09-04; timing is for convenience and consistency</x:v>
      </x:c>
    </x:row>
    <x:row r="22" ht="15" hidden="0" customHeight="1">
      <x:c r="A22" s="170" t="str">
        <x:v>Post-workout</x:v>
      </x:c>
      <x:c r="B22" s="170" t="str">
        <x:v>After workout</x:v>
      </x:c>
      <x:c r="C22" s="170" t="str">
        <x:v>Ultimate Nutrition Prostar whey (25 g protein)</x:v>
      </x:c>
      <x:c r="D22" s="371" t="n">
        <x:v>25</x:v>
      </x:c>
      <x:c r="E22" s="170"/>
      <x:c r="F22" s="170" t="str">
        <x:v>Partial</x:v>
      </x:c>
      <x:c r="G22" s="170" t="str">
        <x:v>Exact scoop/serving and label</x:v>
      </x:c>
      <x:c r="H22" s="170" t="str">
        <x:v>25 g counted from the stated serving</x:v>
      </x:c>
    </x:row>
    <x:row r="23" ht="26.399999618530273" hidden="0" customHeight="1">
      <x:c r="A23" s="170" t="str">
        <x:v>Dinner</x:v>
      </x:c>
      <x:c r="B23" s="170" t="str">
        <x:v>After workout;
exact time to verify</x:v>
      </x:c>
      <x:c r="C23" s="170" t="str">
        <x:v>1 bowl cooked Indian lentils; 1 bowl salad
1 Epigamia Turbo Flavored yogurt (15 g protein reported)</x:v>
      </x:c>
      <x:c r="D23" s="371" t="n">
        <x:v>15</x:v>
      </x:c>
      <x:c r="E23" s="170"/>
      <x:c r="F23" s="170" t="str">
        <x:v>Partial</x:v>
      </x:c>
      <x:c r="G23" s="170" t="str">
        <x:v>Cooked lentil quantity/type; salad dressing; yogurt flavor/serving weight/label</x:v>
      </x:c>
      <x:c r="H23" s="170" t="str">
        <x:v>15 g counts only the reported yogurt; lentil protein not yet counted</x:v>
      </x:c>
    </x:row>
    <x:row r="24" ht="15" hidden="0" customHeight="1">
      <x:c r="A24" s="170"/>
      <x:c r="B24" s="170"/>
      <x:c r="C24" s="170"/>
      <x:c r="D24" s="371"/>
      <x:c r="E24" s="170"/>
      <x:c r="F24" s="170"/>
      <x:c r="G24" s="170"/>
      <x:c r="H24" s="170"/>
    </x:row>
    <x:row r="25" ht="15" hidden="0" customHeight="1">
      <x:c r="A25" s="264" t="str">
        <x:v>Explicitly stated protein minimum (unquantified foods excluded)</x:v>
      </x:c>
      <x:c r="B25" s="265" t="str">
        <x:v>Explicitly stated protein minimum (unquantified foods excluded)</x:v>
      </x:c>
      <x:c r="C25" s="265" t="str">
        <x:v>Explicitly stated protein minimum (unquantified foods excluded)</x:v>
      </x:c>
      <x:c r="D25" s="373" t="n">
        <x:v>113.59635</x:v>
      </x:c>
      <x:c r="E25" s="265" t="str">
        <x:v>Current quantified minimum: 113.60 g/day. Sabji, fruit, cooked lentils and salad remain unquantified; ghee calories remain To verify.</x:v>
      </x:c>
      <x:c r="F25" s="265" t="str">
        <x:v>Current quantified minimum: 113.60 g/day. Sabji, fruit, cooked lentils and salad remain unquantified; ghee calories remain To verify.</x:v>
      </x:c>
      <x:c r="G25" s="265" t="str">
        <x:v>Current quantified minimum: 113.60 g/day. Sabji, fruit, cooked lentils and salad remain unquantified; ghee calories remain To verify.</x:v>
      </x:c>
      <x:c r="H25" s="266" t="str">
        <x:v>Current quantified minimum: 113.60 g/day. Sabji, fruit, cooked lentils and salad remain unquantified; ghee calories remain To verify.</x:v>
      </x:c>
    </x:row>
    <x:row r="26" ht="15" hidden="0" customHeight="1">
      <x:c r="A26" s="170"/>
      <x:c r="B26" s="170"/>
      <x:c r="C26" s="170"/>
      <x:c r="D26" s="170"/>
      <x:c r="E26" s="170"/>
      <x:c r="F26" s="170"/>
      <x:c r="G26" s="170"/>
      <x:c r="H26" s="170"/>
    </x:row>
    <x:row r="27" ht="15" hidden="0" customHeight="1">
      <x:c r="A27" s="224" t="str">
        <x:v>Daily Nutrition &amp; Activity Log</x:v>
      </x:c>
      <x:c r="B27" s="224" t="str">
        <x:v>Daily Nutrition &amp; Activity Log</x:v>
      </x:c>
      <x:c r="C27" s="224" t="str">
        <x:v>Daily Nutrition &amp; Activity Log</x:v>
      </x:c>
      <x:c r="D27" s="224" t="str">
        <x:v>Daily Nutrition &amp; Activity Log</x:v>
      </x:c>
      <x:c r="E27" s="224" t="str">
        <x:v>Daily Nutrition &amp; Activity Log</x:v>
      </x:c>
      <x:c r="F27" s="224" t="str">
        <x:v>Daily Nutrition &amp; Activity Log</x:v>
      </x:c>
      <x:c r="G27" s="224" t="str">
        <x:v>Daily Nutrition &amp; Activity Log</x:v>
      </x:c>
      <x:c r="H27" s="224" t="str">
        <x:v>Daily Nutrition &amp; Activity Log</x:v>
      </x:c>
    </x:row>
    <x:row r="28" ht="15" hidden="0" customHeight="1">
      <x:c r="A28" s="170" t="str">
        <x:v>Date</x:v>
      </x:c>
      <x:c r="B28" s="170" t="str">
        <x:v>Protein (g)</x:v>
      </x:c>
      <x:c r="C28" s="170" t="str">
        <x:v>Calories</x:v>
      </x:c>
      <x:c r="D28" s="170" t="str">
        <x:v>Water (L)</x:v>
      </x:c>
      <x:c r="E28" s="170" t="str">
        <x:v>Steps</x:v>
      </x:c>
      <x:c r="F28" s="170" t="str">
        <x:v>Cardio</x:v>
      </x:c>
      <x:c r="G28" s="170" t="str">
        <x:v>Plan Adherence</x:v>
      </x:c>
      <x:c r="H28" s="170" t="str">
        <x:v>Notes</x:v>
      </x:c>
    </x:row>
    <x:row r="29" ht="15" hidden="0" customHeight="1">
      <x:c r="A29" s="170"/>
      <x:c r="B29" s="170"/>
      <x:c r="C29" s="170"/>
      <x:c r="D29" s="170"/>
      <x:c r="E29" s="170"/>
      <x:c r="F29" s="170"/>
      <x:c r="G29" s="170"/>
      <x:c r="H29" s="170"/>
    </x:row>
    <x:row r="30" ht="15" hidden="0" customHeight="1">
      <x:c r="A30" s="170"/>
      <x:c r="B30" s="170"/>
      <x:c r="C30" s="170"/>
      <x:c r="D30" s="170"/>
      <x:c r="E30" s="170"/>
      <x:c r="F30" s="170"/>
      <x:c r="G30" s="170"/>
      <x:c r="H30" s="170"/>
    </x:row>
    <x:row r="31" ht="15" hidden="0" customHeight="1">
      <x:c r="A31" s="224" t="str">
        <x:v>Verified Supplement Label Register</x:v>
      </x:c>
      <x:c r="B31" s="224" t="str">
        <x:v>Verified Supplement Label Register</x:v>
      </x:c>
      <x:c r="C31" s="224" t="str">
        <x:v>Verified Supplement Label Register</x:v>
      </x:c>
      <x:c r="D31" s="224" t="str">
        <x:v>Verified Supplement Label Register</x:v>
      </x:c>
      <x:c r="E31" s="224" t="str">
        <x:v>Verified Supplement Label Register</x:v>
      </x:c>
      <x:c r="F31" s="224" t="str">
        <x:v>Verified Supplement Label Register</x:v>
      </x:c>
      <x:c r="G31" s="224" t="str">
        <x:v>Verified Supplement Label Register</x:v>
      </x:c>
      <x:c r="H31" s="224" t="str">
        <x:v>Verified Supplement Label Register</x:v>
      </x:c>
    </x:row>
    <x:row r="32" ht="15" hidden="0" customHeight="1">
      <x:c r="A32" s="225" t="str">
        <x:v>Product</x:v>
      </x:c>
      <x:c r="B32" s="226" t="str">
        <x:v>Label Field</x:v>
      </x:c>
      <x:c r="C32" s="226" t="str">
        <x:v>Verified Value</x:v>
      </x:c>
      <x:c r="D32" s="227" t="str">
        <x:v>Evidence / Status</x:v>
      </x:c>
      <x:c r="E32" s="170"/>
      <x:c r="F32" s="170"/>
      <x:c r="G32" s="170"/>
      <x:c r="H32" s="170"/>
    </x:row>
    <x:row r="33" ht="26.399999618530273" hidden="0" customHeight="1">
      <x:c r="A33" s="170" t="str">
        <x:v>MuscleTech EAA+ Energy</x:v>
      </x:c>
      <x:c r="B33" s="170" t="str">
        <x:v>Serving</x:v>
      </x:c>
      <x:c r="C33" s="170" t="str">
        <x:v>1 scoop (13.2 g); approximately 30 servings</x:v>
      </x:c>
      <x:c r="D33" s="170" t="str">
        <x:v>Label and full level scoop verified</x:v>
      </x:c>
      <x:c r="E33" s="170"/>
      <x:c r="F33" s="170"/>
      <x:c r="G33" s="170"/>
      <x:c r="H33" s="170"/>
    </x:row>
    <x:row r="34" ht="26.399999618530273" hidden="0" customHeight="1">
      <x:c r="A34" s="170" t="str">
        <x:v>MuscleTech EAA+ Energy</x:v>
      </x:c>
      <x:c r="B34" s="170" t="str">
        <x:v>EAA profile</x:v>
      </x:c>
      <x:c r="C34" s="170" t="str">
        <x:v>7.49 g total EAAs, including leucine 3 g and BCAAs 4.5 g</x:v>
      </x:c>
      <x:c r="D34" s="170" t="str">
        <x:v>Nutrition panel verified</x:v>
      </x:c>
      <x:c r="E34" s="170"/>
      <x:c r="F34" s="170"/>
      <x:c r="G34" s="170"/>
      <x:c r="H34" s="170"/>
    </x:row>
    <x:row r="35" ht="26.399999618530273" hidden="0" customHeight="1">
      <x:c r="A35" s="170" t="str">
        <x:v>MuscleTech EAA+ Energy</x:v>
      </x:c>
      <x:c r="B35" s="170" t="str">
        <x:v>Caffeine and energy</x:v>
      </x:c>
      <x:c r="C35" s="170" t="str">
        <x:v>Caffeine 100 mg; energy 3 kcal; protein 0 g per serving</x:v>
      </x:c>
      <x:c r="D35" s="170" t="str">
        <x:v>Verified; not dietary protein</x:v>
      </x:c>
      <x:c r="E35" s="170"/>
      <x:c r="F35" s="170"/>
      <x:c r="G35" s="170"/>
      <x:c r="H35" s="170"/>
    </x:row>
    <x:row r="36" ht="26.399999618530273" hidden="0" customHeight="1">
      <x:c r="A36" s="170" t="str">
        <x:v>MuscleTech EAA+ Energy</x:v>
      </x:c>
      <x:c r="B36" s="170" t="str">
        <x:v>Electrolytes</x:v>
      </x:c>
      <x:c r="C36" s="170" t="str">
        <x:v>Potassium 292 mg; sodium 109 mg; calcium 45 mg; magnesium 34 mg; phosphorus 116 mg</x:v>
      </x:c>
      <x:c r="D36" s="170" t="str">
        <x:v>Nutrition panel verified</x:v>
      </x:c>
      <x:c r="E36" s="170"/>
      <x:c r="F36" s="170"/>
      <x:c r="G36" s="170"/>
      <x:c r="H36" s="170"/>
    </x:row>
    <x:row r="37" ht="26.399999618530273" hidden="0" customHeight="1">
      <x:c r="A37" s="170" t="str">
        <x:v>MuscleTech EAA+ Energy</x:v>
      </x:c>
      <x:c r="B37" s="170" t="str">
        <x:v>Directions</x:v>
      </x:c>
      <x:c r="C37" s="170" t="str">
        <x:v>Mix 1 scoop with 240 mL cold water; consume once daily; maximum recommended dose 1 serving/day</x:v>
      </x:c>
      <x:c r="D37" s="170" t="str">
        <x:v>Follow label maximum</x:v>
      </x:c>
      <x:c r="E37" s="170"/>
      <x:c r="F37" s="170"/>
      <x:c r="G37" s="170"/>
      <x:c r="H37" s="170"/>
    </x:row>
    <x:row r="38" ht="26.399999618530273" hidden="0" customHeight="1">
      <x:c r="A38" s="170" t="str">
        <x:v>MuscleTech EAA+ Energy</x:v>
      </x:c>
      <x:c r="B38" s="170" t="str">
        <x:v>Ingredients / allergen note</x:v>
      </x:c>
      <x:c r="C38" s="170" t="str">
        <x:v>Contains sucralose and steviol glycosides; processed in a facility that also handles milk, fish, tree nuts and soy</x:v>
      </x:c>
      <x:c r="D38" s="170" t="str">
        <x:v>Label statement</x:v>
      </x:c>
      <x:c r="E38" s="170"/>
      <x:c r="F38" s="170"/>
      <x:c r="G38" s="170"/>
      <x:c r="H38" s="170"/>
    </x:row>
    <x:row r="39" ht="26.399999618530273" hidden="0" customHeight="1">
      <x:c r="A39" s="170" t="str">
        <x:v>MuscleTech EAA+ Energy</x:v>
      </x:c>
      <x:c r="B39" s="170" t="str">
        <x:v>Manufacture / expiry / evidence</x:v>
      </x:c>
      <x:c r="C39" s="170" t="str">
        <x:v>MFG Dec 2024; EXP Nov 2026
evidence/supplement_labels/2026-08-07/muscletech-eaa-energy</x:v>
      </x:c>
      <x:c r="D39" s="170" t="str">
        <x:v>Four photos saved locally</x:v>
      </x:c>
      <x:c r="E39" s="170"/>
      <x:c r="F39" s="170"/>
      <x:c r="G39" s="170"/>
      <x:c r="H39" s="170"/>
    </x:row>
    <x:row r="40" ht="15" hidden="0" customHeight="1">
      <x:c r="A40" s="170"/>
      <x:c r="B40" s="170"/>
      <x:c r="C40" s="170"/>
      <x:c r="D40" s="170"/>
      <x:c r="E40" s="170"/>
      <x:c r="F40" s="170"/>
      <x:c r="G40" s="170"/>
      <x:c r="H40" s="170"/>
    </x:row>
    <x:row r="41" ht="15" hidden="0" customHeight="1">
      <x:c r="A41" s="224" t="str">
        <x:v>Verified Food Label Register</x:v>
      </x:c>
      <x:c r="B41" s="224" t="str">
        <x:v>Verified Food Label Register</x:v>
      </x:c>
      <x:c r="C41" s="224" t="str">
        <x:v>Verified Food Label Register</x:v>
      </x:c>
      <x:c r="D41" s="224" t="str">
        <x:v>Verified Food Label Register</x:v>
      </x:c>
      <x:c r="E41" s="339" t="str">
        <x:v>Verified Food Label Register</x:v>
      </x:c>
      <x:c r="F41" s="339" t="str">
        <x:v>Verified Food Label Register</x:v>
      </x:c>
      <x:c r="G41" s="339" t="str">
        <x:v>Verified Food Label Register</x:v>
      </x:c>
      <x:c r="H41" s="339" t="str">
        <x:v>Verified Food Label Register</x:v>
      </x:c>
    </x:row>
    <x:row r="42" ht="15" hidden="0" customHeight="1">
      <x:c r="A42" s="225" t="str">
        <x:v>Product</x:v>
      </x:c>
      <x:c r="B42" s="226" t="str">
        <x:v>Label / portion field</x:v>
      </x:c>
      <x:c r="C42" s="226" t="str">
        <x:v>Verified value</x:v>
      </x:c>
      <x:c r="D42" s="227" t="str">
        <x:v>Evidence / status</x:v>
      </x:c>
      <x:c r="E42" s="170"/>
      <x:c r="F42" s="170"/>
      <x:c r="G42" s="170"/>
      <x:c r="H42" s="170"/>
    </x:row>
    <x:row r="43" ht="52.79999923706055" hidden="0" customHeight="1">
      <x:c r="A43" s="170" t="str">
        <x:v>Milk</x:v>
      </x:c>
      <x:c r="B43" s="170" t="str">
        <x:v>Serving and protein</x:v>
      </x:c>
      <x:c r="C43" s="170" t="str">
        <x:v>200 mL consumed; label protein 3.0 g per 100 g; approximately 6.0 g protein</x:v>
      </x:c>
      <x:c r="D43" s="170" t="str">
        <x:v>Label basis verified; exact toned/full-cream variant To verify</x:v>
      </x:c>
      <x:c r="E43" s="170"/>
      <x:c r="F43" s="170"/>
      <x:c r="G43" s="170"/>
      <x:c r="H43" s="170"/>
    </x:row>
    <x:row r="44" ht="52.79999923706055" hidden="0" customHeight="1">
      <x:c r="A44" s="170" t="str">
        <x:v>Milk</x:v>
      </x:c>
      <x:c r="B44" s="170" t="str">
        <x:v>Calculation convention</x:v>
      </x:c>
      <x:c r="C44" s="170" t="str">
        <x:v>200 mL treated as approximately 200 g because the package reports a 200 mL serving against per-100-g nutrition</x:v>
      </x:c>
      <x:c r="D44" s="170" t="str">
        <x:v>Approximation disclosed; do not reuse if product label changes</x:v>
      </x:c>
      <x:c r="E44" s="170"/>
      <x:c r="F44" s="170"/>
      <x:c r="G44" s="170"/>
      <x:c r="H44" s="170"/>
    </x:row>
    <x:row r="45" ht="15" hidden="0" customHeight="1">
      <x:c r="A45" s="170" t="str">
        <x:v>Tofu</x:v>
      </x:c>
      <x:c r="B45" s="170" t="str">
        <x:v>Nutrition</x:v>
      </x:c>
      <x:c r="C45" s="170" t="str">
        <x:v>14.19 g protein per 100 g</x:v>
      </x:c>
      <x:c r="D45" s="170" t="str">
        <x:v>Label verified</x:v>
      </x:c>
      <x:c r="E45" s="170"/>
      <x:c r="F45" s="170"/>
      <x:c r="G45" s="170"/>
      <x:c r="H45" s="170"/>
    </x:row>
    <x:row r="46" ht="26.399999618530273" hidden="0" customHeight="1">
      <x:c r="A46" s="170" t="str">
        <x:v>Tofu</x:v>
      </x:c>
      <x:c r="B46" s="170" t="str">
        <x:v>Consumed portion</x:v>
      </x:c>
      <x:c r="C46" s="170" t="str">
        <x:v>58 g total makes two sandwiches; 29 g consumed = 4.12 g protein</x:v>
      </x:c>
      <x:c r="D46" s="170" t="str">
        <x:v>Weight photo and user split verified</x:v>
      </x:c>
      <x:c r="E46" s="170"/>
      <x:c r="F46" s="170"/>
      <x:c r="G46" s="170"/>
      <x:c r="H46" s="170"/>
    </x:row>
    <x:row r="47" ht="15" hidden="0" customHeight="1">
      <x:c r="A47" s="170" t="str">
        <x:v>Brown high-fibre bread</x:v>
      </x:c>
      <x:c r="B47" s="170" t="str">
        <x:v>Nutrition</x:v>
      </x:c>
      <x:c r="C47" s="170" t="str">
        <x:v>9.74 g protein per 100 g; package serving approximately 50 g</x:v>
      </x:c>
      <x:c r="D47" s="170" t="str">
        <x:v>Label verified</x:v>
      </x:c>
      <x:c r="E47" s="170"/>
      <x:c r="F47" s="170"/>
      <x:c r="G47" s="170"/>
      <x:c r="H47" s="170"/>
    </x:row>
    <x:row r="48" ht="26.399999618530273" hidden="0" customHeight="1">
      <x:c r="A48" s="170" t="str">
        <x:v>Brown high-fibre bread</x:v>
      </x:c>
      <x:c r="B48" s="170" t="str">
        <x:v>Consumed portion</x:v>
      </x:c>
      <x:c r="C48" s="170" t="str">
        <x:v>Two slices confirmed as one approximately 50 g serving; 4.87 g protein</x:v>
      </x:c>
      <x:c r="D48" s="170" t="str">
        <x:v>Verified by Vipin on 2026-08-09</x:v>
      </x:c>
      <x:c r="E48" s="170"/>
      <x:c r="F48" s="170"/>
      <x:c r="G48" s="170"/>
      <x:c r="H48" s="170"/>
    </x:row>
    <x:row r="49" ht="26.399999618530273" hidden="0" customHeight="1">
      <x:c r="A49" s="170" t="str">
        <x:v>Evidence</x:v>
      </x:c>
      <x:c r="B49" s="170" t="str">
        <x:v>Local folder</x:v>
      </x:c>
      <x:c r="C49" s="170" t="str">
        <x:v>evidence/nutrition_labels/2026-08-09/milk-tofu-bread</x:v>
      </x:c>
      <x:c r="D49" s="170" t="str">
        <x:v>Six photos saved locally</x:v>
      </x:c>
      <x:c r="E49" s="170"/>
      <x:c r="F49" s="170"/>
      <x:c r="G49" s="170"/>
      <x:c r="H49" s="170"/>
    </x:row>
    <x:row r="50" ht="52.79999923706055" hidden="0" customHeight="1">
      <x:c r="A50" s="170" t="str">
        <x:v>ITC atta - exact variant To verify</x:v>
      </x:c>
      <x:c r="B50" s="170" t="str">
        <x:v>Nutrition per 100 g</x:v>
      </x:c>
      <x:c r="C50" s="170" t="str">
        <x:v>340 kcal; protein 10.5 g; carbohydrate 76.8 g; total sugars 4.8 g; added sugars 0 g; dietary fibre 10.8 g; fat 1.4 g; sodium 2.3 mg</x:v>
      </x:c>
      <x:c r="D50" s="170" t="str">
        <x:v>Label supplied 2026-08-09; exact product name not visible in crop</x:v>
      </x:c>
    </x:row>
    <x:row r="51" ht="39.599998474121094" hidden="0" customHeight="1">
      <x:c r="A51" s="170" t="str">
        <x:v>Roti portion</x:v>
      </x:c>
      <x:c r="B51" s="170" t="str">
        <x:v>Consumed portion and protein</x:v>
      </x:c>
      <x:c r="C51" s="170" t="str">
        <x:v>270 g dry atta makes 8 rotis; 3 rotis represent 101.25 g dry atta and 10.63 g protein</x:v>
      </x:c>
      <x:c r="D51" s="170" t="str">
        <x:v>Batch quantity and yield reported by Vipin on 2026-08-09</x:v>
      </x:c>
    </x:row>
    <x:row r="52" ht="52.79999923706055" hidden="0" customHeight="1">
      <x:c r="A52" s="170" t="str">
        <x:v>Roti evidence</x:v>
      </x:c>
      <x:c r="B52" s="170" t="str">
        <x:v>Local file / unresolved addition</x:v>
      </x:c>
      <x:c r="C52" s="170" t="str">
        <x:v>evidence/nutrition_labels/2026-08-09/atta-roti/01-atta-nutrition-label.jpg</x:v>
      </x:c>
      <x:c r="D52" s="170" t="str">
        <x:v>Ghee sometimes added; amount and frequency To verify for calories</x:v>
      </x:c>
    </x:row>
  </x:sheetData>
  <x:mergeCells>
    <x:mergeCell ref="A1:H2"/>
    <x:mergeCell ref="A4:H4"/>
    <x:mergeCell ref="A14:H14"/>
    <x:mergeCell ref="A25:C25"/>
    <x:mergeCell ref="A27:H27"/>
    <x:mergeCell ref="A31:H31"/>
    <x:mergeCell ref="A41:H41"/>
    <x:mergeCell ref="E25:H25"/>
  </x:mergeCells>
  <x:dataValidations count="3">
    <x:dataValidation type="list" sqref="F12:F18">
      <x:formula1>"To verify,Planned,Active,Needs adjustment"</x:formula1>
    </x:dataValidation>
    <x:dataValidation type="list" sqref="F16:F23">
      <x:formula1>"Known,Partial,To verify,Planned,Active,Needs adjustment"</x:formula1>
    </x:dataValidation>
    <x:dataValidation type="list" sqref="G29">
      <x:formula1>"On plan,Mostly on plan,Off plan,Not recorded"</x:formula1>
    </x:dataValidation>
  </x:dataValidations>
  <x:pageMargins left="0.7" right="0.7" top="0.75" bottom="0.75" header="0.3" footer="0.3"/>
  <x:tableParts count="4">
    <x:tablePart xmlns:r="http://schemas.openxmlformats.org/officeDocument/2006/relationships" r:id="Re5932c49ecb14278"/>
    <x:tablePart xmlns:r="http://schemas.openxmlformats.org/officeDocument/2006/relationships" r:id="Ra0555e607cad470d"/>
    <x:tablePart xmlns:r="http://schemas.openxmlformats.org/officeDocument/2006/relationships" r:id="R2564ddcfaf044283"/>
    <x:tablePart xmlns:r="http://schemas.openxmlformats.org/officeDocument/2006/relationships" r:id="R9fbb91674952403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4" hidden="0" customWidth="1"/>
    <x:col min="4" max="4" width="14" hidden="0" customWidth="1"/>
    <x:col min="5" max="5" width="14" hidden="0" customWidth="1"/>
    <x:col min="6" max="6" width="14" hidden="0" customWidth="1"/>
    <x:col min="7" max="7" width="28" hidden="0" customWidth="1"/>
    <x:col min="8" max="8" width="28" hidden="0" customWidth="1"/>
    <x:col min="9" max="9" width="28" hidden="0" customWidth="1"/>
    <x:col min="10" max="10" width="52" hidden="0" customWidth="1"/>
    <x:col min="11" max="11" width="16" hidden="0" customWidth="1"/>
  </x:cols>
  <x:sheetData>
    <x:row r="1" ht="28" customHeight="1">
      <x:c r="A1" s="167" t="str">
        <x:v>Progress Photos &amp; Body Measurements</x:v>
      </x:c>
      <x:c r="B1" s="167" t="str">
        <x:v>Progress Photos &amp; Body Measurements</x:v>
      </x:c>
      <x:c r="C1" s="167" t="str">
        <x:v>Progress Photos &amp; Body Measurements</x:v>
      </x:c>
      <x:c r="D1" s="167" t="str">
        <x:v>Progress Photos &amp; Body Measurements</x:v>
      </x:c>
      <x:c r="E1" s="167" t="str">
        <x:v>Progress Photos &amp; Body Measurements</x:v>
      </x:c>
      <x:c r="F1" s="167" t="str">
        <x:v>Progress Photos &amp; Body Measurements</x:v>
      </x:c>
      <x:c r="G1" s="167" t="str">
        <x:v>Progress Photos &amp; Body Measurements</x:v>
      </x:c>
      <x:c r="H1" s="167" t="str">
        <x:v>Progress Photos &amp; Body Measurements</x:v>
      </x:c>
      <x:c r="I1" s="167" t="str">
        <x:v>Progress Photos &amp; Body Measurements</x:v>
      </x:c>
      <x:c r="J1" s="167" t="str">
        <x:v>Progress Photos &amp; Body Measurements</x:v>
      </x:c>
      <x:c r="K1" s="167" t="str">
        <x:v>Progress Photos &amp; Body Measurements</x:v>
      </x:c>
    </x:row>
    <x:row r="2" ht="28" customHeight="1">
      <x:c r="A2" s="166" t="str">
        <x:v>Progress Photos &amp; Body Measurements</x:v>
      </x:c>
      <x:c r="B2" s="166" t="str">
        <x:v>Progress Photos &amp; Body Measurements</x:v>
      </x:c>
      <x:c r="C2" s="166" t="str">
        <x:v>Progress Photos &amp; Body Measurements</x:v>
      </x:c>
      <x:c r="D2" s="166" t="str">
        <x:v>Progress Photos &amp; Body Measurements</x:v>
      </x:c>
      <x:c r="E2" s="166" t="str">
        <x:v>Progress Photos &amp; Body Measurements</x:v>
      </x:c>
      <x:c r="F2" s="166" t="str">
        <x:v>Progress Photos &amp; Body Measurements</x:v>
      </x:c>
      <x:c r="G2" s="166" t="str">
        <x:v>Progress Photos &amp; Body Measurements</x:v>
      </x:c>
      <x:c r="H2" s="166" t="str">
        <x:v>Progress Photos &amp; Body Measurements</x:v>
      </x:c>
      <x:c r="I2" s="166" t="str">
        <x:v>Progress Photos &amp; Body Measurements</x:v>
      </x:c>
      <x:c r="J2" s="166" t="str">
        <x:v>Progress Photos &amp; Body Measurements</x:v>
      </x:c>
      <x:c r="K2" s="166" t="str">
        <x:v>Progress Photos &amp; Body Measurements</x:v>
      </x:c>
    </x:row>
    <x:row r="3" ht="15" hidden="0" customHeight="1">
      <x:c r="A3" s="101" t="str">
        <x:v>Take photos about every 4 weeks under similar lighting, distance, posture, clothing, and time-of-day conditions.</x:v>
      </x:c>
      <x:c r="B3" s="101" t="str">
        <x:v>Take photos about every 4 weeks under similar lighting, distance, posture, clothing, and time-of-day conditions.</x:v>
      </x:c>
      <x:c r="C3" s="101" t="str">
        <x:v>Take photos about every 4 weeks under similar lighting, distance, posture, clothing, and time-of-day conditions.</x:v>
      </x:c>
      <x:c r="D3" s="101" t="str">
        <x:v>Take photos about every 4 weeks under similar lighting, distance, posture, clothing, and time-of-day conditions.</x:v>
      </x:c>
      <x:c r="E3" s="101" t="str">
        <x:v>Take photos about every 4 weeks under similar lighting, distance, posture, clothing, and time-of-day conditions.</x:v>
      </x:c>
      <x:c r="F3" s="101" t="str">
        <x:v>Take photos about every 4 weeks under similar lighting, distance, posture, clothing, and time-of-day conditions.</x:v>
      </x:c>
      <x:c r="G3" s="101" t="str">
        <x:v>Take photos about every 4 weeks under similar lighting, distance, posture, clothing, and time-of-day conditions.</x:v>
      </x:c>
      <x:c r="H3" s="101" t="str">
        <x:v>Take photos about every 4 weeks under similar lighting, distance, posture, clothing, and time-of-day conditions.</x:v>
      </x:c>
      <x:c r="I3" s="101" t="str">
        <x:v>Take photos about every 4 weeks under similar lighting, distance, posture, clothing, and time-of-day conditions.</x:v>
      </x:c>
      <x:c r="J3" s="101" t="str">
        <x:v>Take photos about every 4 weeks under similar lighting, distance, posture, clothing, and time-of-day conditions.</x:v>
      </x:c>
      <x:c r="K3" s="101" t="str">
        <x:v>Take photos about every 4 weeks under similar lighting, distance, posture, clothing, and time-of-day conditions.</x:v>
      </x:c>
    </x:row>
    <x:row r="4" ht="15" hidden="0" customHeight="1">
      <x:c r="A4" s="170" t="str">
        <x:v>Date</x:v>
      </x:c>
      <x:c r="B4" s="170" t="str">
        <x:v>Weight (kg)</x:v>
      </x:c>
      <x:c r="C4" s="170" t="str">
        <x:v>Waist (cm)</x:v>
      </x:c>
      <x:c r="D4" s="170" t="str">
        <x:v>Chest (cm)</x:v>
      </x:c>
      <x:c r="E4" s="170" t="str">
        <x:v>Arm (cm)</x:v>
      </x:c>
      <x:c r="F4" s="170" t="str">
        <x:v>Thigh (cm)</x:v>
      </x:c>
      <x:c r="G4" s="170" t="str">
        <x:v>Front Photo</x:v>
      </x:c>
      <x:c r="H4" s="170" t="str">
        <x:v>Side Photo</x:v>
      </x:c>
      <x:c r="I4" s="170" t="str">
        <x:v>Back Photo</x:v>
      </x:c>
      <x:c r="J4" s="170" t="str">
        <x:v>Conditions / Notes</x:v>
      </x:c>
      <x:c r="K4" s="170" t="str">
        <x:v>Status</x:v>
      </x:c>
    </x:row>
    <x:row r="5" ht="26.399999618530273" hidden="0" customHeight="1">
      <x:c r="A5" s="220" t="n">
        <x:v>46241</x:v>
      </x:c>
      <x:c r="B5" s="223" t="n">
        <x:v>90</x:v>
      </x:c>
      <x:c r="C5" s="223"/>
      <x:c r="D5" s="223"/>
      <x:c r="E5" s="223"/>
      <x:c r="F5" s="223"/>
      <x:c r="G5" s="170" t="str">
        <x:v>To link</x:v>
      </x:c>
      <x:c r="H5" s="170" t="str">
        <x:v>To link</x:v>
      </x:c>
      <x:c r="I5" s="170" t="str">
        <x:v>To link</x:v>
      </x:c>
      <x:c r="J5" s="170" t="str">
        <x:v>User confirmed current photos can be shared. Exact files, standardized conditions, verified weight and waist remain pending.</x:v>
      </x:c>
      <x:c r="K5" s="170" t="str">
        <x:v>To verify</x:v>
      </x:c>
    </x:row>
    <x:row r="6" ht="79.19999694824219" hidden="0" customHeight="1">
      <x:c r="A6" s="220" t="n">
        <x:v>46243</x:v>
      </x:c>
      <x:c r="B6" s="223" t="n">
        <x:v>88.8</x:v>
      </x:c>
      <x:c r="C6" s="223" t="n">
        <x:v>99.1</x:v>
      </x:c>
      <x:c r="D6" s="223"/>
      <x:c r="E6" s="223"/>
      <x:c r="F6" s="223"/>
      <x:c r="G6" s="170" t="str">
        <x:v>To link</x:v>
      </x:c>
      <x:c r="H6" s="170" t="str">
        <x:v>To link</x:v>
      </x:c>
      <x:c r="I6" s="170" t="str">
        <x:v>To link</x:v>
      </x:c>
      <x:c r="J6" s="170" t="str">
        <x:v>Reported Sunday morning measurement: waist taken at navel. Bathroom/pre-food conditions not explicitly reconfirmed. 91.5 kg gym-machine reading was post-workout at night and is retained only as non-comparable context. Standardized progress photos remain pending. Follow-up confirmed: measurements were taken after using the bathroom and before eating or drinking.</x:v>
      </x:c>
      <x:c r="K6" s="170" t="str">
        <x:v>To verify</x:v>
      </x:c>
    </x:row>
    <x:row r="7">
      <x:c r="A7" s="220" t="n">
        <x:v>46250</x:v>
      </x:c>
      <x:c r="B7" s="223" t="n">
        <x:v>88.3</x:v>
      </x:c>
      <x:c r="C7" s="223" t="n">
        <x:v>96.5</x:v>
      </x:c>
      <x:c r="D7" s="223"/>
      <x:c r="E7" s="223"/>
      <x:c r="F7" s="223"/>
      <x:c r="G7" s="170" t="str">
        <x:v>To link</x:v>
      </x:c>
      <x:c r="H7" s="170" t="str">
        <x:v>To link</x:v>
      </x:c>
      <x:c r="I7" s="170" t="str">
        <x:v>To link</x:v>
      </x:c>
      <x:c r="J7" s="170" t="str">
        <x:v>Verified standardized Sunday measurement: after bathroom, before food/drink, abdomen relaxed, tape at navel level. Weight changed -0.5 kg and waist -2.6 cm versus 2026-08-09. Progress photos were not supplied for this check-in.</x:v>
      </x:c>
      <x:c r="K7" s="170" t="str">
        <x:v>Missing photos</x:v>
      </x:c>
    </x:row>
    <x:row r="8">
      <x:c r="A8" s="220" t="n">
        <x:v>46257</x:v>
      </x:c>
      <x:c r="B8" s="170" t="n">
        <x:v>87.7</x:v>
      </x:c>
      <x:c r="C8" s="170" t="n">
        <x:v>96.5</x:v>
      </x:c>
      <x:c r="D8" s="170"/>
      <x:c r="E8" s="170"/>
      <x:c r="F8" s="170"/>
      <x:c r="G8" s="170" t="str">
        <x:v>To link</x:v>
      </x:c>
      <x:c r="H8" s="170" t="str">
        <x:v>To link</x:v>
      </x:c>
      <x:c r="I8" s="170" t="str">
        <x:v>To link</x:v>
      </x:c>
      <x:c r="J8" s="170" t="str">
        <x:v>Repeated morning readings 87.6-87.7 kg before food/drink; no morning bowel movement because bowel movement occurred around midnight. Abdomen relaxed and tape at navel. Previous-day 88.7 kg conditions To verify; photos not supplied.</x:v>
      </x:c>
      <x:c r="K8" s="170" t="str">
        <x:v>Partial / missing photos</x:v>
      </x:c>
    </x:row>
  </x:sheetData>
  <x:mergeCells>
    <x:mergeCell ref="A1:K2"/>
    <x:mergeCell ref="A3:K3"/>
  </x:mergeCells>
  <x:dataValidations count="2">
    <x:dataValidation type="list" sqref="K5">
      <x:formula1>"Verified,To verify,Missing photos,Complete"</x:formula1>
    </x:dataValidation>
    <x:dataValidation type="list" sqref="K5:K6">
      <x:formula1>"Verified,To verify,Missing photos,Complete"</x:formula1>
    </x:dataValidation>
  </x:dataValidations>
  <x:pageMargins left="0.7" right="0.7" top="0.75" bottom="0.75" header="0.3" footer="0.3"/>
  <x:tableParts count="1">
    <x:tablePart xmlns:r="http://schemas.openxmlformats.org/officeDocument/2006/relationships" r:id="Rd7c092a1ca724ca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12" hidden="0" customWidth="1"/>
    <x:col min="4" max="4" width="15" hidden="0" customWidth="1"/>
    <x:col min="5" max="5" width="18" hidden="0" customWidth="1"/>
    <x:col min="6" max="6" width="18" hidden="0" customWidth="1"/>
    <x:col min="7" max="7" width="18" hidden="0" customWidth="1"/>
    <x:col min="8" max="8" width="16" hidden="0" customWidth="1"/>
    <x:col min="9" max="9" width="54" hidden="0" customWidth="1"/>
  </x:cols>
  <x:sheetData>
    <x:row r="1" ht="28" customHeight="1">
      <x:c r="A1" s="295" t="str">
        <x:v>Daily Protein Calculator</x:v>
      </x:c>
      <x:c r="B1" s="295" t="str">
        <x:v>Daily Protein Calculator</x:v>
      </x:c>
      <x:c r="C1" s="295" t="str">
        <x:v>Daily Protein Calculator</x:v>
      </x:c>
      <x:c r="D1" s="295" t="str">
        <x:v>Daily Protein Calculator</x:v>
      </x:c>
      <x:c r="E1" s="295" t="str">
        <x:v>Daily Protein Calculator</x:v>
      </x:c>
      <x:c r="F1" s="295" t="str">
        <x:v>Daily Protein Calculator</x:v>
      </x:c>
      <x:c r="G1" s="295" t="str">
        <x:v>Daily Protein Calculator</x:v>
      </x:c>
      <x:c r="H1" s="295" t="str">
        <x:v>Daily Protein Calculator</x:v>
      </x:c>
      <x:c r="I1" s="295" t="str">
        <x:v>Daily Protein Calculator</x:v>
      </x:c>
    </x:row>
    <x:row r="2" ht="28" customHeight="1">
      <x:c r="A2" s="269" t="str">
        <x:v>Daily Protein Calculator</x:v>
      </x:c>
      <x:c r="B2" s="269" t="str">
        <x:v>Daily Protein Calculator</x:v>
      </x:c>
      <x:c r="C2" s="269" t="str">
        <x:v>Daily Protein Calculator</x:v>
      </x:c>
      <x:c r="D2" s="269" t="str">
        <x:v>Daily Protein Calculator</x:v>
      </x:c>
      <x:c r="E2" s="269" t="str">
        <x:v>Daily Protein Calculator</x:v>
      </x:c>
      <x:c r="F2" s="269" t="str">
        <x:v>Daily Protein Calculator</x:v>
      </x:c>
      <x:c r="G2" s="269" t="str">
        <x:v>Daily Protein Calculator</x:v>
      </x:c>
      <x:c r="H2" s="269" t="str">
        <x:v>Daily Protein Calculator</x:v>
      </x:c>
      <x:c r="I2" s="269" t="str">
        <x:v>Daily Protein Calculator</x:v>
      </x:c>
    </x:row>
    <x:row r="3" ht="15" hidden="0" customHeight="1">
      <x:c r="A3" s="101" t="str">
        <x:v>Verified label values and directly reported protein are counted. Blank inputs remain To verify; the result is a known minimum, not yet the complete daily total.</x:v>
      </x:c>
      <x:c r="B3" s="101" t="str">
        <x:v>Verified label values and directly reported protein are counted. Blank inputs remain To verify; the result is a known minimum, not yet the complete daily total.</x:v>
      </x:c>
      <x:c r="C3" s="101" t="str">
        <x:v>Verified label values and directly reported protein are counted. Blank inputs remain To verify; the result is a known minimum, not yet the complete daily total.</x:v>
      </x:c>
      <x:c r="D3" s="101" t="str">
        <x:v>Verified label values and directly reported protein are counted. Blank inputs remain To verify; the result is a known minimum, not yet the complete daily total.</x:v>
      </x:c>
      <x:c r="E3" s="101" t="str">
        <x:v>Verified label values and directly reported protein are counted. Blank inputs remain To verify; the result is a known minimum, not yet the complete daily total.</x:v>
      </x:c>
      <x:c r="F3" s="101" t="str">
        <x:v>Verified label values and directly reported protein are counted. Blank inputs remain To verify; the result is a known minimum, not yet the complete daily total.</x:v>
      </x:c>
      <x:c r="G3" s="101" t="str">
        <x:v>Verified label values and directly reported protein are counted. Blank inputs remain To verify; the result is a known minimum, not yet the complete daily total.</x:v>
      </x:c>
      <x:c r="H3" s="101" t="str">
        <x:v>Verified label values and directly reported protein are counted. Blank inputs remain To verify; the result is a known minimum, not yet the complete daily total.</x:v>
      </x:c>
      <x:c r="I3" s="101" t="str">
        <x:v>Verified label values and directly reported protein are counted. Blank inputs remain To verify; the result is a known minimum, not yet the complete daily total.</x:v>
      </x:c>
    </x:row>
    <x:row r="4" ht="15" hidden="0" customHeight="1">
      <x:c r="A4" s="170"/>
      <x:c r="B4" s="170"/>
      <x:c r="C4" s="170"/>
      <x:c r="D4" s="170"/>
      <x:c r="E4" s="170"/>
      <x:c r="F4" s="170"/>
      <x:c r="G4" s="170"/>
      <x:c r="H4" s="170"/>
      <x:c r="I4" s="170"/>
    </x:row>
    <x:row r="5" ht="15" hidden="0" customHeight="1">
      <x:c r="A5" s="225" t="str">
        <x:v>Meal</x:v>
      </x:c>
      <x:c r="B5" s="226" t="str">
        <x:v>Food</x:v>
      </x:c>
      <x:c r="C5" s="226" t="str">
        <x:v>Quantity</x:v>
      </x:c>
      <x:c r="D5" s="226" t="str">
        <x:v>Unit</x:v>
      </x:c>
      <x:c r="E5" s="226" t="str">
        <x:v>Protein basis (g)</x:v>
      </x:c>
      <x:c r="F5" s="226" t="str">
        <x:v>Basis quantity</x:v>
      </x:c>
      <x:c r="G5" s="226" t="str">
        <x:v>Calculated protein (g)</x:v>
      </x:c>
      <x:c r="H5" s="226" t="str">
        <x:v>Status</x:v>
      </x:c>
      <x:c r="I5" s="227" t="str">
        <x:v>Evidence / missing input</x:v>
      </x:c>
    </x:row>
    <x:row r="6" ht="26.399999618530273" hidden="0" customHeight="1">
      <x:c r="A6" s="170" t="str">
        <x:v>Breakfast</x:v>
      </x:c>
      <x:c r="B6" s="170" t="str">
        <x:v>Kellogg's Muesli Nuts Delight</x:v>
      </x:c>
      <x:c r="C6" s="170" t="n">
        <x:v>60</x:v>
      </x:c>
      <x:c r="D6" s="170" t="str">
        <x:v>g</x:v>
      </x:c>
      <x:c r="E6" s="170" t="n">
        <x:v>8.3</x:v>
      </x:c>
      <x:c r="F6" s="170" t="n">
        <x:v>100</x:v>
      </x:c>
      <x:c r="G6" s="223" t="n">
        <x:f>IF(H6="To verify","",C6*E6/F6)</x:f>
        <x:v>4.98</x:v>
      </x:c>
      <x:c r="H6" s="170" t="str">
        <x:v>Verified</x:v>
      </x:c>
      <x:c r="I6" s="170" t="str">
        <x:v>Label: 8.3 g/100 g. User says 60 g; photo display is 61 g. evidence/nutrition_labels/2026-08-09/kelloggs-muesli-nuts-delight</x:v>
      </x:c>
    </x:row>
    <x:row r="7" ht="15" hidden="0" customHeight="1">
      <x:c r="A7" s="170" t="str">
        <x:v>Breakfast</x:v>
      </x:c>
      <x:c r="B7" s="170" t="str">
        <x:v>Run Nutrition yeast whey</x:v>
      </x:c>
      <x:c r="C7" s="170" t="n">
        <x:v>1</x:v>
      </x:c>
      <x:c r="D7" s="170" t="str">
        <x:v>serving</x:v>
      </x:c>
      <x:c r="E7" s="170" t="n">
        <x:v>26</x:v>
      </x:c>
      <x:c r="F7" s="170" t="n">
        <x:v>1</x:v>
      </x:c>
      <x:c r="G7" s="223" t="n">
        <x:f>IF(H7="To verify","",C7*E7/F7)</x:f>
        <x:v>26</x:v>
      </x:c>
      <x:c r="H7" s="170" t="str">
        <x:v>User reported</x:v>
      </x:c>
      <x:c r="I7" s="170" t="str">
        <x:v>26 g protein per breakfast serving; product label still pending</x:v>
      </x:c>
    </x:row>
    <x:row r="8" ht="66" hidden="0" customHeight="1">
      <x:c r="A8" s="325" t="str">
        <x:v>Breakfast</x:v>
      </x:c>
      <x:c r="B8" s="325" t="str">
        <x:v>Milk</x:v>
      </x:c>
      <x:c r="C8" s="325" t="n">
        <x:v>200</x:v>
      </x:c>
      <x:c r="D8" s="325" t="str">
        <x:v>mL</x:v>
      </x:c>
      <x:c r="E8" s="325" t="n">
        <x:v>3</x:v>
      </x:c>
      <x:c r="F8" s="325" t="n">
        <x:v>100</x:v>
      </x:c>
      <x:c r="G8" s="326" t="n">
        <x:f>IF(H8="To verify","",C8*E8/F8)</x:f>
        <x:v>6</x:v>
      </x:c>
      <x:c r="H8" s="325" t="str">
        <x:v>Verified</x:v>
      </x:c>
      <x:c r="I8" s="325" t="str">
        <x:v>Attached label: serving 200 mL and protein 3.0 g per 100 g. Formula uses the package convention of approximately 200 mL = 200 g. User is unsure whether the variant is toned or full cream. evidence/nutrition_labels/2026-08-09/milk-tofu-bread/01-milk-label.jpg</x:v>
      </x:c>
    </x:row>
    <x:row r="9" ht="82" hidden="0" customHeight="1">
      <x:c r="A9" s="325" t="str">
        <x:v>Lunch</x:v>
      </x:c>
      <x:c r="B9" s="325" t="str">
        <x:v>Rotis</x:v>
      </x:c>
      <x:c r="C9" s="325" t="n">
        <x:v>101.25</x:v>
      </x:c>
      <x:c r="D9" s="325" t="str">
        <x:v>g dry atta (3 of 8 rotis)</x:v>
      </x:c>
      <x:c r="E9" s="325" t="n">
        <x:v>10.5</x:v>
      </x:c>
      <x:c r="F9" s="325" t="n">
        <x:v>100</x:v>
      </x:c>
      <x:c r="G9" s="326" t="n">
        <x:f>C9*E9/F9</x:f>
        <x:v>10.63125</x:v>
      </x:c>
      <x:c r="H9" s="325" t="str">
        <x:v>Verified</x:v>
      </x:c>
      <x:c r="I9" s="325" t="str">
        <x:v>Vipin reported 270 g dry atta makes 8 rotis; three rotis therefore use 101.25 g dry atta. Supplied label: protein 10.5 g per 100 g. Calculated protein = 10.63 g. Ghee is sometimes added; quantity and frequency remain To verify for calories, but ghee does not materially change protein.</x:v>
      </x:c>
    </x:row>
    <x:row r="10" ht="15" hidden="0" customHeight="1">
      <x:c r="A10" s="325" t="str">
        <x:v>Lunch</x:v>
      </x:c>
      <x:c r="B10" s="325" t="str">
        <x:v>Sabji</x:v>
      </x:c>
      <x:c r="C10" s="325"/>
      <x:c r="D10" s="325" t="str">
        <x:v>g or serving</x:v>
      </x:c>
      <x:c r="E10" s="325"/>
      <x:c r="F10" s="325" t="n">
        <x:v>100</x:v>
      </x:c>
      <x:c r="G10" s="326" t="str">
        <x:f>IF(H10="To verify","",C10*E10/F10)</x:f>
      </x:c>
      <x:c r="H10" s="325" t="str">
        <x:v>To verify</x:v>
      </x:c>
      <x:c r="I10" s="325" t="str">
        <x:v>Need ingredients, portion and cooking method</x:v>
      </x:c>
    </x:row>
    <x:row r="11" ht="15" hidden="0" customHeight="1">
      <x:c r="A11" s="325" t="str">
        <x:v>Lunch</x:v>
      </x:c>
      <x:c r="B11" s="325" t="str">
        <x:v>Epigamia Turbo yogurt</x:v>
      </x:c>
      <x:c r="C11" s="325" t="n">
        <x:v>1</x:v>
      </x:c>
      <x:c r="D11" s="325" t="str">
        <x:v>serving</x:v>
      </x:c>
      <x:c r="E11" s="325" t="n">
        <x:v>17</x:v>
      </x:c>
      <x:c r="F11" s="325" t="n">
        <x:v>1</x:v>
      </x:c>
      <x:c r="G11" s="326" t="n">
        <x:v>17</x:v>
      </x:c>
      <x:c r="H11" s="325" t="str">
        <x:v>User reported</x:v>
      </x:c>
      <x:c r="I11" s="325" t="str">
        <x:v>17 g protein per lunch serving; exact serving weight and label remain To verify</x:v>
      </x:c>
    </x:row>
    <x:row r="12" ht="15" hidden="0" customHeight="1">
      <x:c r="A12" s="325" t="str">
        <x:v>Evening</x:v>
      </x:c>
      <x:c r="B12" s="325" t="str">
        <x:v>Fruit</x:v>
      </x:c>
      <x:c r="C12" s="325"/>
      <x:c r="D12" s="325" t="str">
        <x:v>g or piece</x:v>
      </x:c>
      <x:c r="E12" s="325"/>
      <x:c r="F12" s="325" t="n">
        <x:v>100</x:v>
      </x:c>
      <x:c r="G12" s="326" t="str">
        <x:f>IF(H12="To verify","",C12*E12/F12)</x:f>
      </x:c>
      <x:c r="H12" s="325" t="str">
        <x:v>To verify</x:v>
      </x:c>
      <x:c r="I12" s="325" t="str">
        <x:v>Not daily; type and quantity vary</x:v>
      </x:c>
    </x:row>
    <x:row r="13" ht="52.79999923706055" hidden="0" customHeight="1">
      <x:c r="A13" s="325" t="str">
        <x:v>Evening</x:v>
      </x:c>
      <x:c r="B13" s="325" t="str">
        <x:v>Tofu</x:v>
      </x:c>
      <x:c r="C13" s="325" t="n">
        <x:v>29</x:v>
      </x:c>
      <x:c r="D13" s="325" t="str">
        <x:v>g</x:v>
      </x:c>
      <x:c r="E13" s="325" t="n">
        <x:v>14.19</x:v>
      </x:c>
      <x:c r="F13" s="325" t="n">
        <x:v>100</x:v>
      </x:c>
      <x:c r="G13" s="326" t="n">
        <x:f>IF(H13="To verify","",C13*E13/F13)</x:f>
        <x:v>4.1151</x:v>
      </x:c>
      <x:c r="H13" s="325" t="str">
        <x:v>Verified</x:v>
      </x:c>
      <x:c r="I13" s="325" t="str">
        <x:v>Photo shows 58 g total tofu for two sandwiches; one sandwich receives half = 29 g. Label: 14.19 g protein per 100 g. evidence/nutrition_labels/2026-08-09/milk-tofu-bread/02-tofu-total-weight-58g.jpg and 03-tofu-nutrition-label.jpg</x:v>
      </x:c>
    </x:row>
    <x:row r="14" ht="39.599998474121094" hidden="0" customHeight="1">
      <x:c r="A14" s="325" t="str">
        <x:v>Evening</x:v>
      </x:c>
      <x:c r="B14" s="325" t="str">
        <x:v>Whole-wheat bread</x:v>
      </x:c>
      <x:c r="C14" s="325" t="n">
        <x:v>50</x:v>
      </x:c>
      <x:c r="D14" s="325" t="str">
        <x:v>g (2 slices / 1 serving)</x:v>
      </x:c>
      <x:c r="E14" s="325" t="n">
        <x:v>9.74</x:v>
      </x:c>
      <x:c r="F14" s="325" t="n">
        <x:v>100</x:v>
      </x:c>
      <x:c r="G14" s="326" t="n">
        <x:f>C14*E14/F14</x:f>
        <x:v>4.87</x:v>
      </x:c>
      <x:c r="H14" s="325" t="str">
        <x:v>Verified</x:v>
      </x:c>
      <x:c r="I14" s="325" t="str">
        <x:v>Vipin confirmed on 2026-08-09 that two slices equal one package serving of approximately 50 g. Label protein: 9.74 g per 100 g. Confirmed bread protein = 4.87 g.</x:v>
      </x:c>
    </x:row>
    <x:row r="15" ht="15" hidden="0" customHeight="1">
      <x:c r="A15" s="170" t="str">
        <x:v>During workout</x:v>
      </x:c>
      <x:c r="B15" s="170" t="str">
        <x:v>MuscleTech EAA+ Energy</x:v>
      </x:c>
      <x:c r="C15" s="170" t="n">
        <x:v>1</x:v>
      </x:c>
      <x:c r="D15" s="170" t="str">
        <x:v>scoop</x:v>
      </x:c>
      <x:c r="E15" s="170" t="n">
        <x:v>0</x:v>
      </x:c>
      <x:c r="F15" s="170" t="n">
        <x:v>1</x:v>
      </x:c>
      <x:c r="G15" s="223" t="n">
        <x:f>IF(H15="To verify","",C15*E15/F15)</x:f>
        <x:v>0</x:v>
      </x:c>
      <x:c r="H15" s="170" t="str">
        <x:v>Verified</x:v>
      </x:c>
      <x:c r="I15" s="170" t="str">
        <x:v>Label protein is 0 g; 7.49 g EAAs are not counted as dietary protein</x:v>
      </x:c>
    </x:row>
    <x:row r="16" ht="15" hidden="0" customHeight="1">
      <x:c r="A16" s="170" t="str">
        <x:v>Post-workout</x:v>
      </x:c>
      <x:c r="B16" s="170" t="str">
        <x:v>Ultimate Nutrition Prostar whey</x:v>
      </x:c>
      <x:c r="C16" s="170" t="n">
        <x:v>1</x:v>
      </x:c>
      <x:c r="D16" s="170" t="str">
        <x:v>serving</x:v>
      </x:c>
      <x:c r="E16" s="170" t="n">
        <x:v>25</x:v>
      </x:c>
      <x:c r="F16" s="170" t="n">
        <x:v>1</x:v>
      </x:c>
      <x:c r="G16" s="223" t="n">
        <x:f>IF(H16="To verify","",C16*E16/F16)</x:f>
        <x:v>25</x:v>
      </x:c>
      <x:c r="H16" s="170" t="str">
        <x:v>User reported</x:v>
      </x:c>
      <x:c r="I16" s="170" t="str">
        <x:v>25 g protein per post-workout serving; exact product label pending</x:v>
      </x:c>
    </x:row>
    <x:row r="17" ht="15" hidden="0" customHeight="1">
      <x:c r="A17" s="170" t="str">
        <x:v>Dinner</x:v>
      </x:c>
      <x:c r="B17" s="170" t="str">
        <x:v>Cooked Indian lentils</x:v>
      </x:c>
      <x:c r="C17" s="170"/>
      <x:c r="D17" s="170" t="str">
        <x:v>g or bowl</x:v>
      </x:c>
      <x:c r="E17" s="170"/>
      <x:c r="F17" s="170" t="n">
        <x:v>100</x:v>
      </x:c>
      <x:c r="G17" s="223" t="str">
        <x:f>IF(H17="To verify","",C17*E17/F17)</x:f>
      </x:c>
      <x:c r="H17" s="170" t="str">
        <x:v>To verify</x:v>
      </x:c>
      <x:c r="I17" s="170" t="str">
        <x:v>Need cooked weight/volume and lentil type</x:v>
      </x:c>
    </x:row>
    <x:row r="18" ht="15" hidden="0" customHeight="1">
      <x:c r="A18" s="170" t="str">
        <x:v>Dinner</x:v>
      </x:c>
      <x:c r="B18" s="170" t="str">
        <x:v>Salad</x:v>
      </x:c>
      <x:c r="C18" s="170"/>
      <x:c r="D18" s="170" t="str">
        <x:v>g or bowl</x:v>
      </x:c>
      <x:c r="E18" s="170"/>
      <x:c r="F18" s="170" t="n">
        <x:v>100</x:v>
      </x:c>
      <x:c r="G18" s="223" t="str">
        <x:f>IF(H18="To verify","",C18*E18/F18)</x:f>
      </x:c>
      <x:c r="H18" s="170" t="str">
        <x:v>To verify</x:v>
      </x:c>
      <x:c r="I18" s="170" t="str">
        <x:v>Need ingredients and quantity; likely a small protein contribution</x:v>
      </x:c>
    </x:row>
    <x:row r="19" ht="15" hidden="0" customHeight="1">
      <x:c r="A19" s="170" t="str">
        <x:v>Dinner</x:v>
      </x:c>
      <x:c r="B19" s="170" t="str">
        <x:v>Epigamia Turbo Flavored yogurt</x:v>
      </x:c>
      <x:c r="C19" s="170" t="n">
        <x:v>1</x:v>
      </x:c>
      <x:c r="D19" s="170" t="str">
        <x:v>serving</x:v>
      </x:c>
      <x:c r="E19" s="170" t="n">
        <x:v>15</x:v>
      </x:c>
      <x:c r="F19" s="170" t="n">
        <x:v>1</x:v>
      </x:c>
      <x:c r="G19" s="223" t="n">
        <x:v>15</x:v>
      </x:c>
      <x:c r="H19" s="170" t="str">
        <x:v>User reported</x:v>
      </x:c>
      <x:c r="I19" s="170" t="str">
        <x:v>15 g protein per dinner serving; flavor, serving weight and label remain To verify</x:v>
      </x:c>
    </x:row>
    <x:row r="20" ht="15" hidden="0" customHeight="1">
      <x:c r="A20" s="170"/>
      <x:c r="B20" s="170"/>
      <x:c r="C20" s="170"/>
      <x:c r="D20" s="170"/>
      <x:c r="E20" s="170"/>
      <x:c r="F20" s="170"/>
      <x:c r="G20" s="170"/>
      <x:c r="H20" s="170"/>
      <x:c r="I20" s="170"/>
    </x:row>
    <x:row r="21" ht="15" hidden="0" customHeight="1">
      <x:c r="A21" s="224" t="str">
        <x:v>Current Protein Summary</x:v>
      </x:c>
      <x:c r="B21" s="224" t="str">
        <x:v>Current Protein Summary</x:v>
      </x:c>
      <x:c r="C21" s="224" t="str">
        <x:v>Current Protein Summary</x:v>
      </x:c>
      <x:c r="D21" s="224" t="str">
        <x:v>Current Protein Summary</x:v>
      </x:c>
      <x:c r="E21" s="224" t="str">
        <x:v>Current Protein Summary</x:v>
      </x:c>
      <x:c r="F21" s="224" t="str">
        <x:v>Current Protein Summary</x:v>
      </x:c>
      <x:c r="G21" s="224" t="str">
        <x:v>Current Protein Summary</x:v>
      </x:c>
      <x:c r="H21" s="224" t="str">
        <x:v>Current Protein Summary</x:v>
      </x:c>
      <x:c r="I21" s="224" t="str">
        <x:v>Current Protein Summary</x:v>
      </x:c>
    </x:row>
    <x:row r="22" ht="15" hidden="0" customHeight="1">
      <x:c r="A22" s="250" t="str">
        <x:v>Known daily minimum</x:v>
      </x:c>
      <x:c r="B22" s="255" t="n">
        <x:v>113.59635</x:v>
      </x:c>
      <x:c r="C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2"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3" ht="26.399999618530273" hidden="0" customHeight="1">
      <x:c r="A23" s="251" t="str">
        <x:v>Known breakfast including milk</x:v>
      </x:c>
      <x:c r="B23" s="256" t="n">
        <x:f>SUM(G6:G8)</x:f>
        <x:v>36.980000000000004</x:v>
      </x:c>
      <x:c r="C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3"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4" ht="26.399999618530273" hidden="0" customHeight="1">
      <x:c r="A24" s="251" t="str">
        <x:v>Provisional target - low</x:v>
      </x:c>
      <x:c r="B24" s="296" t="n">
        <x:v>140</x:v>
      </x:c>
      <x:c r="C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4"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5" ht="26.399999618530273" hidden="0" customHeight="1">
      <x:c r="A25" s="251" t="str">
        <x:v>Provisional target - high</x:v>
      </x:c>
      <x:c r="B25" s="296" t="n">
        <x:v>170</x:v>
      </x:c>
      <x:c r="C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5"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6" ht="26.399999618530273" hidden="0" customHeight="1">
      <x:c r="A26" s="251" t="str">
        <x:v>Known-minimum gap to low target</x:v>
      </x:c>
      <x:c r="B26" s="296" t="n">
        <x:v>26.40365</x:v>
      </x:c>
      <x:c r="C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D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E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F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G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H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c r="I26" s="170" t="str">
        <x:v>Known minimum now includes 200 mL milk, three rotis from 101.25 g dry atta, 29 g tofu, two bread slices, two whey servings, 60 g muesli, lunch Epigamia Turbo yogurt (17 g reported) and dinner Epigamia Turbo Flavored yogurt (15 g reported). Sabji, fruit, cooked lentils and salad remain unquantified; ghee calories remain To verify.</x:v>
      </x:c>
    </x:row>
    <x:row r="27" ht="15" hidden="0" customHeight="1">
      <x:c r="A27" s="252" t="str">
        <x:v>Interpretation</x:v>
      </x:c>
      <x:c r="B27" s="164" t="str">
        <x:v>The gap is only against the quantified minimum. Sabji, fruit, lentils and salad remain unquantified and will raise the actual total. Ghee quantity remains To verify for calories.</x:v>
      </x:c>
      <x:c r="C27" s="170" t="str">
        <x:v>The gap is only against the quantified minimum. Sabji, fruit, lentils and salad remain unquantified and will raise the actual total. Ghee quantity remains To verify for calories.</x:v>
      </x:c>
      <x:c r="D27" s="170" t="str">
        <x:v>The gap is only against the quantified minimum. Sabji, fruit, lentils and salad remain unquantified and will raise the actual total. Ghee quantity remains To verify for calories.</x:v>
      </x:c>
      <x:c r="E27" s="170" t="str">
        <x:v>The gap is only against the quantified minimum. Sabji, fruit, lentils and salad remain unquantified and will raise the actual total. Ghee quantity remains To verify for calories.</x:v>
      </x:c>
      <x:c r="F27" s="170" t="str">
        <x:v>The gap is only against the quantified minimum. Sabji, fruit, lentils and salad remain unquantified and will raise the actual total. Ghee quantity remains To verify for calories.</x:v>
      </x:c>
      <x:c r="G27" s="170" t="str">
        <x:v>The gap is only against the quantified minimum. Sabji, fruit, lentils and salad remain unquantified and will raise the actual total. Ghee quantity remains To verify for calories.</x:v>
      </x:c>
      <x:c r="H27" s="170" t="str">
        <x:v>The gap is only against the quantified minimum. Sabji, fruit, lentils and salad remain unquantified and will raise the actual total. Ghee quantity remains To verify for calories.</x:v>
      </x:c>
      <x:c r="I27" s="170" t="str">
        <x:v>The gap is only against the quantified minimum. Sabji, fruit, lentils and salad remain unquantified and will raise the actual total. Ghee quantity remains To verify for calories.</x:v>
      </x:c>
    </x:row>
    <x:row r="28" ht="15" hidden="0" customHeight="1">
      <x:c r="A28" s="170"/>
      <x:c r="B28" s="170"/>
      <x:c r="C28" s="170"/>
      <x:c r="D28" s="170"/>
      <x:c r="E28" s="170"/>
      <x:c r="F28" s="170"/>
      <x:c r="G28" s="170"/>
      <x:c r="H28" s="170"/>
      <x:c r="I28" s="170"/>
    </x:row>
    <x:row r="29" ht="15" hidden="0" customHeight="1">
      <x:c r="A29" s="224" t="str">
        <x:v>Earlier Muesli-Package Milk Scenario - Superseded by Supplied Milk Label</x:v>
      </x:c>
      <x:c r="B29" s="224" t="str">
        <x:v>Earlier Muesli-Package Milk Scenario - Superseded by Supplied Milk Label</x:v>
      </x:c>
      <x:c r="C29" s="224" t="str">
        <x:v>Earlier Muesli-Package Milk Scenario - Superseded by Supplied Milk Label</x:v>
      </x:c>
      <x:c r="D29" s="224" t="str">
        <x:v>Earlier Muesli-Package Milk Scenario - Superseded by Supplied Milk Label</x:v>
      </x:c>
      <x:c r="E29" s="224" t="str">
        <x:v>Earlier Muesli-Package Milk Scenario - Superseded by Supplied Milk Label</x:v>
      </x:c>
      <x:c r="F29" s="224" t="str">
        <x:v>Earlier Muesli-Package Milk Scenario - Superseded by Supplied Milk Label</x:v>
      </x:c>
      <x:c r="G29" s="224" t="str">
        <x:v>Earlier Muesli-Package Milk Scenario - Superseded by Supplied Milk Label</x:v>
      </x:c>
      <x:c r="H29" s="224" t="str">
        <x:v>Earlier Muesli-Package Milk Scenario - Superseded by Supplied Milk Label</x:v>
      </x:c>
      <x:c r="I29" s="224" t="str">
        <x:v>Earlier Muesli-Package Milk Scenario - Superseded by Supplied Milk Label</x:v>
      </x:c>
    </x:row>
    <x:row r="30" ht="39.599998474121094" hidden="0" customHeight="1">
      <x:c r="A30" s="250" t="str">
        <x:v>Package combined protein: 40 g cereal + 200 mL milk</x:v>
      </x:c>
      <x:c r="B30" s="248" t="n">
        <x:v>9.9</x:v>
      </x:c>
      <x:c r="C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0"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1" ht="26.399999618530273" hidden="0" customHeight="1">
      <x:c r="A31" s="251" t="str">
        <x:v>Cereal quantity in package scenario (g)</x:v>
      </x:c>
      <x:c r="B31" s="249" t="n">
        <x:v>40</x:v>
      </x:c>
      <x:c r="C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1"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2" ht="26.399999618530273" hidden="0" customHeight="1">
      <x:c r="A32" s="251" t="str">
        <x:v>Cereal protein basis (g/100 g)</x:v>
      </x:c>
      <x:c r="B32" s="249" t="n">
        <x:v>8.3</x:v>
      </x:c>
      <x:c r="C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2"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3" ht="26.399999618530273" hidden="0" customHeight="1">
      <x:c r="A33" s="251" t="str">
        <x:v>Implied protein from 200 mL package milk</x:v>
      </x:c>
      <x:c r="B33" s="296" t="n">
        <x:f>B30-(B31*B32/100)</x:f>
        <x:v>6.58</x:v>
      </x:c>
      <x:c r="C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3"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4" ht="39.599998474121094" hidden="0" customHeight="1">
      <x:c r="A34" s="252" t="str">
        <x:v>Conditional breakfast: 60 g cereal + whey + that milk</x:v>
      </x:c>
      <x:c r="B34" s="305" t="n">
        <x:f>G6+G7+B33</x:f>
        <x:v>37.56</x:v>
      </x:c>
      <x:c r="C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D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E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F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G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H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c r="I34" s="170" t="str">
        <x:v>Historical calculation preserved: the muesli package implied 6.58 g from its 200 mL milk example and a 37.56 g breakfast. The newly supplied milk label gives approximately 6.0 g for 200 mL, so the active breakfast calculation is now 36.98 g. Exact milk variant remains To verify.</x:v>
      </x:c>
    </x:row>
    <x:row r="35" ht="15" hidden="0" customHeight="1">
      <x:c r="A35" s="170"/>
      <x:c r="B35" s="170"/>
      <x:c r="C35" s="170"/>
      <x:c r="D35" s="170"/>
      <x:c r="E35" s="170"/>
      <x:c r="F35" s="170"/>
      <x:c r="G35" s="170"/>
      <x:c r="H35" s="170"/>
      <x:c r="I35" s="170"/>
    </x:row>
    <x:row r="36" ht="15" hidden="0" customHeight="1">
      <x:c r="A36" s="224" t="str">
        <x:v>Bread Serving Confirmation - Resolved on 2026-08-09</x:v>
      </x:c>
      <x:c r="B36" s="224" t="str">
        <x:v>Bread Serving Confirmation - Resolved on 2026-08-09</x:v>
      </x:c>
      <x:c r="C36" s="224" t="str">
        <x:v>Bread Serving Confirmation - Resolved on 2026-08-09</x:v>
      </x:c>
      <x:c r="D36" s="224" t="str">
        <x:v>Bread Serving Confirmation - Resolved on 2026-08-09</x:v>
      </x:c>
      <x:c r="E36" s="224" t="str">
        <x:v>Bread Serving Confirmation - Resolved on 2026-08-09</x:v>
      </x:c>
      <x:c r="F36" s="224" t="str">
        <x:v>Bread Serving Confirmation - Resolved on 2026-08-09</x:v>
      </x:c>
      <x:c r="G36" s="224" t="str">
        <x:v>Bread Serving Confirmation - Resolved on 2026-08-09</x:v>
      </x:c>
      <x:c r="H36" s="224" t="str">
        <x:v>Bread Serving Confirmation - Resolved on 2026-08-09</x:v>
      </x:c>
      <x:c r="I36" s="224" t="str">
        <x:v>Bread Serving Confirmation - Resolved on 2026-08-09</x:v>
      </x:c>
    </x:row>
    <x:row r="37" ht="26.399999618530273" hidden="0" customHeight="1">
      <x:c r="A37" s="250" t="str">
        <x:v>Confirmed serving size: two slices (g)</x:v>
      </x:c>
      <x:c r="B37" s="248" t="n">
        <x:v>50</x:v>
      </x:c>
      <x:c r="C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7"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38" ht="26.399999618530273" hidden="0" customHeight="1">
      <x:c r="A38" s="251" t="str">
        <x:v>Bread protein basis (g/100 g)</x:v>
      </x:c>
      <x:c r="B38" s="249" t="n">
        <x:v>9.74</x:v>
      </x:c>
      <x:c r="C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8"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39" ht="26.399999618530273" hidden="0" customHeight="1">
      <x:c r="A39" s="251" t="str">
        <x:v>Confirmed protein from two slices</x:v>
      </x:c>
      <x:c r="B39" s="256" t="n">
        <x:f>B37*B38/100</x:f>
        <x:v>4.87</x:v>
      </x:c>
      <x:c r="C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39"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40" ht="39.599998474121094" hidden="0" customHeight="1">
      <x:c r="A40" s="252" t="str">
        <x:v>Quantified daily minimum after bread confirmation</x:v>
      </x:c>
      <x:c r="B40" s="369" t="n">
        <x:v>94.9651</x:v>
      </x:c>
      <x:c r="C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D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E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F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G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H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c r="I40" s="170" t="str">
        <x:v>The previous condition is now resolved: Vipin confirmed that two slices equal the package's approximately 50 g serving. Bread contributes 4.87 g, the tofu sandwich contributes 8.99 g, and the quantified daily minimum is 94.97 g. Rotis, sabji, fruit, lentils and salad are still excluded.</x:v>
      </x:c>
    </x:row>
    <x:row r="41" ht="15" hidden="0" customHeight="1">
      <x:c r="A41" s="170"/>
      <x:c r="B41" s="170"/>
      <x:c r="C41" s="170"/>
      <x:c r="D41" s="170"/>
      <x:c r="E41" s="170"/>
      <x:c r="F41" s="170"/>
      <x:c r="G41" s="170"/>
      <x:c r="H41" s="170"/>
      <x:c r="I41" s="170"/>
    </x:row>
    <x:row r="42" ht="15" hidden="0" customHeight="1">
      <x:c r="A42" s="377" t="str">
        <x:v>Roti and Atta Verification - 2026-08-09</x:v>
      </x:c>
      <x:c r="B42" s="377" t="str">
        <x:v>Roti and Atta Verification - 2026-08-09</x:v>
      </x:c>
      <x:c r="C42" s="377" t="str">
        <x:v>Roti and Atta Verification - 2026-08-09</x:v>
      </x:c>
      <x:c r="D42" s="377" t="str">
        <x:v>Roti and Atta Verification - 2026-08-09</x:v>
      </x:c>
      <x:c r="E42" s="377" t="str">
        <x:v>Roti and Atta Verification - 2026-08-09</x:v>
      </x:c>
      <x:c r="F42" s="377" t="str">
        <x:v>Roti and Atta Verification - 2026-08-09</x:v>
      </x:c>
      <x:c r="G42" s="377" t="str">
        <x:v>Roti and Atta Verification - 2026-08-09</x:v>
      </x:c>
      <x:c r="H42" s="377" t="str">
        <x:v>Roti and Atta Verification - 2026-08-09</x:v>
      </x:c>
      <x:c r="I42" s="377" t="str">
        <x:v>Roti and Atta Verification - 2026-08-09</x:v>
      </x:c>
    </x:row>
    <x:row r="43" ht="26.399999618530273" hidden="0" customHeight="1">
      <x:c r="A43" s="170" t="str">
        <x:v>Dry atta used for batch (g)</x:v>
      </x:c>
      <x:c r="B43" s="170" t="n">
        <x:v>270</x:v>
      </x:c>
      <x:c r="C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3"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4" ht="26.399999618530273" hidden="0" customHeight="1">
      <x:c r="A44" s="170" t="str">
        <x:v>Rotis produced from batch</x:v>
      </x:c>
      <x:c r="B44" s="170" t="n">
        <x:v>8</x:v>
      </x:c>
      <x:c r="C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4"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5" ht="15" hidden="0" customHeight="1">
      <x:c r="A45" s="170" t="str">
        <x:v>Rotis consumed</x:v>
      </x:c>
      <x:c r="B45" s="170" t="n">
        <x:v>3</x:v>
      </x:c>
      <x:c r="C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5"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6" ht="26.399999618530273" hidden="0" customHeight="1">
      <x:c r="A46" s="170" t="str">
        <x:v>Dry atta represented by 3 rotis (g)</x:v>
      </x:c>
      <x:c r="B46" s="371" t="n">
        <x:f>B43/B44*B45</x:f>
        <x:v>101.25</x:v>
      </x:c>
      <x:c r="C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6"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7" ht="26.399999618530273" hidden="0" customHeight="1">
      <x:c r="A47" s="170" t="str">
        <x:v>Atta protein basis (g/100 g)</x:v>
      </x:c>
      <x:c r="B47" s="371" t="n">
        <x:v>10.5</x:v>
      </x:c>
      <x:c r="C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7"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8" ht="15" hidden="0" customHeight="1">
      <x:c r="A48" s="170" t="str">
        <x:v>Protein from 3 rotis (g)</x:v>
      </x:c>
      <x:c r="B48" s="378" t="n">
        <x:f>B46*B47/100</x:f>
        <x:v>10.63125</x:v>
      </x:c>
      <x:c r="C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8"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49" ht="26.399999618530273" hidden="0" customHeight="1">
      <x:c r="A49" s="170" t="str">
        <x:v>Atta energy basis (kcal/100 g)</x:v>
      </x:c>
      <x:c r="B49" s="371" t="n">
        <x:v>340</x:v>
      </x:c>
      <x:c r="C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49"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row r="50" ht="26.399999618530273" hidden="0" customHeight="1">
      <x:c r="A50" s="170" t="str">
        <x:v>Energy from 3 rotis before ghee (kcal)</x:v>
      </x:c>
      <x:c r="B50" s="371" t="n">
        <x:f>B46*B49/100</x:f>
        <x:v>344.25</x:v>
      </x:c>
      <x:c r="C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D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E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F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G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H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c r="I50" s="170" t="str">
        <x:v>Vipin reported that 270 g dry atta produces 8 rotis and he eats 3. This represents 101.25 g dry atta. The supplied ITC label states 10.5 g protein and 340 kcal per 100 g, so three rotis contribute 10.63 g protein and approximately 344.25 kcal before ghee. Ghee is sometimes added; its amount and frequency are preserved as To verify and its calories are excluded. Exact atta product variant is also To verify because the product name is not visible in the supplied crop.</x:v>
      </x:c>
    </x:row>
  </x:sheetData>
  <x:mergeCells>
    <x:mergeCell ref="A1:I2"/>
    <x:mergeCell ref="A3:I3"/>
    <x:mergeCell ref="A21:I21"/>
    <x:mergeCell ref="A29:I29"/>
    <x:mergeCell ref="C30:I34"/>
    <x:mergeCell ref="A36:I36"/>
    <x:mergeCell ref="C37:I40"/>
    <x:mergeCell ref="C22:I26"/>
    <x:mergeCell ref="B27:I27"/>
    <x:mergeCell ref="A42:I42"/>
    <x:mergeCell ref="C43:I50"/>
  </x:mergeCells>
  <x:conditionalFormatting sqref="H6:H19">
    <x:cfRule type="containsText" dxfId="11" priority="1" operator="containsText" text="Verified"/>
    <x:cfRule type="containsText" dxfId="12" priority="2" operator="containsText" text="User reported"/>
    <x:cfRule type="containsText" dxfId="13" priority="3" operator="containsText" text="To verify"/>
    <x:cfRule type="containsText" dxfId="14" priority="4" operator="containsText" text="Verified"/>
    <x:cfRule type="containsText" dxfId="15" priority="5" operator="containsText" text="User reported"/>
    <x:cfRule type="containsText" dxfId="16" priority="6" operator="containsText" text="To verify"/>
  </x:conditionalFormatting>
  <x:pageMargins left="0.7" right="0.7" top="0.75" bottom="0.75" header="0.3" footer="0.3"/>
  <x:tableParts count="1">
    <x:tablePart xmlns:r="http://schemas.openxmlformats.org/officeDocument/2006/relationships" r:id="Ra0aa34563b20425b"/>
  </x:tableParts>
</x:worksheet>
</file>