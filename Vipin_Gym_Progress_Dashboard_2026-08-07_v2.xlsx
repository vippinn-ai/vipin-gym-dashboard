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7751ff1dc34803" /></Relationships>
</file>

<file path=xl/workbook.xml><?xml version="1.0" encoding="utf-8"?>
<x:workbook xmlns:x="http://schemas.openxmlformats.org/spreadsheetml/2006/main">
  <x:sheets>
    <x:sheet xmlns:r="http://schemas.openxmlformats.org/officeDocument/2006/relationships" name="README" sheetId="1" r:id="Re0cde04628134b03"/>
    <x:sheet xmlns:r="http://schemas.openxmlformats.org/officeDocument/2006/relationships" name="Dashboard" sheetId="2" r:id="R140da18b767c4366"/>
    <x:sheet xmlns:r="http://schemas.openxmlformats.org/officeDocument/2006/relationships" name="Workout Journal" sheetId="3" r:id="R50527aae56844435"/>
    <x:sheet xmlns:r="http://schemas.openxmlformats.org/officeDocument/2006/relationships" name="Exercise Targets" sheetId="4" r:id="R6bf577d86c94435a"/>
    <x:sheet xmlns:r="http://schemas.openxmlformats.org/officeDocument/2006/relationships" name="Recovery &amp; Body" sheetId="5" r:id="R702626e600374bce"/>
    <x:sheet xmlns:r="http://schemas.openxmlformats.org/officeDocument/2006/relationships" name="Program Notes" sheetId="6" r:id="Rab872a5d47ee457e"/>
    <x:sheet xmlns:r="http://schemas.openxmlformats.org/officeDocument/2006/relationships" name="Session Summary" sheetId="7" r:id="Re9139ba429644171"/>
    <x:sheet xmlns:r="http://schemas.openxmlformats.org/officeDocument/2006/relationships" name="Coaching Profile" sheetId="8" r:id="Ree903bcbcf5543a4"/>
    <x:sheet xmlns:r="http://schemas.openxmlformats.org/officeDocument/2006/relationships" name="Nutrition Plan" sheetId="9" r:id="R7e437f2730204ec5"/>
    <x:sheet xmlns:r="http://schemas.openxmlformats.org/officeDocument/2006/relationships" name="Photos &amp; Measurements" sheetId="10" r:id="R3a5f96ba6e2a4fa0"/>
    <x:sheet xmlns:r="http://schemas.openxmlformats.org/officeDocument/2006/relationships" name="Protein Calculator" sheetId="11" r:id="Rc6499a85b19b4b9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yyyy-mm-dd"/>
    <x:numFmt numFmtId="200" formatCode="0.0"/>
    <x:numFmt numFmtId="201" formatCode="#,##0"/>
    <x:numFmt numFmtId="202" formatCode="0 &quot;g&quot;"/>
    <x:numFmt numFmtId="203" formatCode="0.00"/>
  </x:numFmts>
  <x:fonts count="15">
    <x:font>
      <x:sz val="11"/>
      <x:name val="Carlito"/>
    </x:font>
    <x:font>
      <x:b/>
      <x:sz val="16"/>
      <x:color rgb="FFFFFFFF"/>
      <x:name val="Carlito"/>
    </x:font>
    <x:font>
      <x:b/>
      <x:sz val="11"/>
      <x:color rgb="FFFFFFFF"/>
      <x:name val="Carlito"/>
    </x:font>
    <x:font>
      <x:b/>
      <x:sz val="11"/>
      <x:color rgb="FF1F2937"/>
      <x:name val="Carlito"/>
    </x:font>
    <x:font>
      <x:b/>
      <x:sz val="15"/>
      <x:color rgb="FF17324D"/>
      <x:name val="Carlito"/>
    </x:font>
    <x:font>
      <x:b/>
      <x:sz val="10"/>
      <x:color rgb="FFFFFFFF"/>
      <x:name val="Carlito"/>
    </x:font>
    <x:font>
      <x:sz val="10"/>
      <x:name val="Carlito"/>
    </x:font>
    <x:font>
      <x:b/>
      <x:sz val="10"/>
      <x:color rgb="FF1F2937"/>
      <x:name val="Carlito"/>
    </x:font>
    <x:font>
      <x:b/>
      <x:sz val="10"/>
      <x:color rgb="FF17324D"/>
      <x:name val="Carlito"/>
    </x:font>
    <x:font>
      <x:b/>
      <x:sz val="16"/>
      <x:color rgb="FFFFFFFF"/>
    </x:font>
    <x:font>
      <x:i/>
      <x:sz val="10"/>
      <x:color rgb="FF7F6000"/>
      <x:name val="Carlito"/>
    </x:font>
    <x:font>
      <x:i/>
      <x:sz val="11"/>
      <x:color rgb="FF7F6000"/>
      <x:name val="Carlito"/>
    </x:font>
    <x:font>
      <x:b/>
      <x:sz val="11"/>
      <x:name val="Carlito"/>
    </x:font>
    <x:font>
      <x:b/>
      <x:sz val="11"/>
      <x:color rgb="FF7F6000"/>
      <x:name val="Carlito"/>
    </x:font>
    <x:font>
      <x:b/>
      <x:sz val="11"/>
      <x:color rgb="FF375623"/>
      <x:name val="Carlito"/>
    </x:font>
  </x:fonts>
  <x:fills count="45">
    <x:fill>
      <x:patternFill patternType="none"/>
    </x:fill>
    <x:fill>
      <x:patternFill patternType="gray125"/>
    </x:fill>
    <x:fill>
      <x:patternFill patternType="solid">
        <x:fgColor rgb="FF17324D"/>
      </x:patternFill>
    </x:fill>
    <x:fill>
      <x:patternFill patternType="solid">
        <x:fgColor rgb="FF2F75B5"/>
      </x:patternFill>
    </x:fill>
    <x:fill>
      <x:patternFill patternType="solid">
        <x:fgColor rgb="FFF3F5F7"/>
      </x:patternFill>
    </x:fill>
    <x:fill>
      <x:patternFill patternType="solid">
        <x:fgColor rgb="FFFFFFFF"/>
      </x:patternFill>
    </x:fill>
    <x:fill>
      <x:patternFill patternType="solid">
        <x:fgColor rgb="FFD9EAF7"/>
      </x:patternFill>
    </x:fill>
    <x:fill>
      <x:patternFill patternType="solid">
        <x:fgColor rgb="FF17324D"/>
      </x:patternFill>
    </x:fill>
    <x:fill>
      <x:patternFill patternType="solid">
        <x:fgColor rgb="FFFFF2CC"/>
      </x:patternFill>
    </x:fill>
    <x:fill>
      <x:patternFill patternType="solid">
        <x:fgColor rgb="FF17344F"/>
      </x:patternFill>
    </x:fill>
    <x:fill>
      <x:patternFill patternType="solid">
        <x:fgColor rgb="FFD9EAF7"/>
      </x:patternFill>
    </x:fill>
    <x:fill>
      <x:patternFill patternType="solid">
        <x:fgColor rgb="FF2F75B5"/>
      </x:patternFill>
    </x:fill>
    <x:fill>
      <x:patternFill patternType="solid">
        <x:fgColor rgb="FF17344F"/>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2F75B5"/>
      </x:patternFill>
    </x:fill>
    <x:fill>
      <x:patternFill patternType="solid">
        <x:fgColor rgb="FFD9EAF7"/>
      </x:patternFill>
    </x:fill>
    <x:fill>
      <x:patternFill patternType="solid">
        <x:fgColor rgb="FF17344F"/>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17344F"/>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E2F0D9"/>
      </x:patternFill>
    </x:fill>
  </x:fills>
  <x:borders count="14">
    <x:border/>
    <x:border/>
    <x:border>
      <x:right style="thin">
        <x:color rgb="FFB7C9D6"/>
      </x:right>
    </x:border>
    <x:border>
      <x:left style="thin">
        <x:color rgb="FFB7C9D6"/>
      </x:left>
      <x:right style="thin">
        <x:color rgb="FFB7C9D6"/>
      </x:right>
    </x:border>
    <x:border>
      <x:left style="thin">
        <x:color rgb="FFB7C9D6"/>
      </x:left>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1">
    <x:xf numFmtId="0" fontId="0" fillId="0" borderId="1"/>
  </x:cellStyleXfs>
  <x:cellXfs count="380">
    <x:xf numFmtId="0" fontId="0" fillId="0" borderId="0" xfId="0"/>
    <x:xf numFmtId="0" fontId="0" fillId="0" borderId="1"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2" borderId="1" xfId="0"/>
    <x:xf numFmtId="0" fontId="1" fillId="2" borderId="1" xfId="0"/>
    <x:xf numFmtId="0" fontId="1" fillId="2" borderId="1" xfId="0" applyAlignment="1">
      <x:alignment horizontal="left"/>
    </x:xf>
    <x:xf numFmtId="0" fontId="1" fillId="2" borderId="1" xfId="0" applyAlignment="1">
      <x:alignment horizontal="left" vertical="center"/>
    </x:xf>
    <x:xf numFmtId="0" fontId="0" fillId="3" borderId="0" xfId="0"/>
    <x:xf numFmtId="0" fontId="2" fillId="3" borderId="0" xfId="0"/>
    <x:xf numFmtId="0" fontId="2" fillId="3" borderId="0" xfId="0" applyAlignment="1">
      <x:alignment horizontal="left"/>
    </x:xf>
    <x:xf numFmtId="0" fontId="2" fillId="3" borderId="0" xfId="0" applyAlignment="1">
      <x:alignment horizontal="left" vertical="center"/>
    </x:xf>
    <x:xf numFmtId="0" fontId="0" fillId="3" borderId="1" xfId="0"/>
    <x:xf numFmtId="0" fontId="2" fillId="3" borderId="1" xfId="0"/>
    <x:xf numFmtId="0" fontId="2" fillId="3" borderId="1" xfId="0" applyAlignment="1">
      <x:alignment horizontal="left"/>
    </x:xf>
    <x:xf numFmtId="0" fontId="2" fillId="3" borderId="1" xfId="0" applyAlignment="1">
      <x:alignment horizontal="left" vertical="center"/>
    </x:xf>
    <x:xf numFmtId="0" fontId="0" fillId="4" borderId="0" xfId="0"/>
    <x:xf numFmtId="0" fontId="3" fillId="4" borderId="0" xfId="0"/>
    <x:xf numFmtId="0" fontId="3" fillId="4" borderId="0" xfId="0" applyAlignment="1">
      <x:alignment horizontal="left"/>
    </x:xf>
    <x:xf numFmtId="0" fontId="3" fillId="4" borderId="0" xfId="0" applyAlignment="1">
      <x:alignment horizontal="left" vertical="center"/>
    </x:xf>
    <x:xf numFmtId="0" fontId="0" fillId="4" borderId="1" xfId="0"/>
    <x:xf numFmtId="0" fontId="3" fillId="4" borderId="1" xfId="0"/>
    <x:xf numFmtId="0" fontId="3" fillId="4" borderId="1" xfId="0" applyAlignment="1">
      <x:alignment horizontal="left"/>
    </x:xf>
    <x:xf numFmtId="0" fontId="3" fillId="4" borderId="1" xfId="0" applyAlignment="1">
      <x:alignment horizontal="left" vertical="center"/>
    </x:xf>
    <x:xf numFmtId="0" fontId="0" fillId="0" borderId="0" xfId="0" applyAlignment="1">
      <x:alignment wrapText="1"/>
    </x:xf>
    <x:xf numFmtId="0" fontId="0" fillId="0" borderId="1" xfId="0" applyAlignment="1">
      <x:alignment wrapText="1"/>
    </x:xf>
    <x:xf numFmtId="0" fontId="3" fillId="4" borderId="0" xfId="0" applyAlignment="1">
      <x:alignment horizontal="center"/>
    </x:xf>
    <x:xf numFmtId="0" fontId="3" fillId="4" borderId="1" xfId="0" applyAlignment="1">
      <x:alignment horizontal="center"/>
    </x:xf>
    <x:xf numFmtId="0" fontId="0" fillId="5" borderId="0" xfId="0"/>
    <x:xf numFmtId="0" fontId="4" fillId="5" borderId="0" xfId="0"/>
    <x:xf numFmtId="0" fontId="4" fillId="5" borderId="0" xfId="0" applyAlignment="1">
      <x:alignment horizontal="center"/>
    </x:xf>
    <x:xf numFmtId="0" fontId="4" fillId="5" borderId="0" xfId="0" applyAlignment="1">
      <x:alignment horizontal="center" vertical="center"/>
    </x:xf>
    <x:xf numFmtId="0" fontId="0" fillId="5" borderId="1" xfId="0"/>
    <x:xf numFmtId="0" fontId="4" fillId="5" borderId="1" xfId="0"/>
    <x:xf numFmtId="0" fontId="4" fillId="5" borderId="1" xfId="0" applyAlignment="1">
      <x:alignment horizontal="center"/>
    </x:xf>
    <x:xf numFmtId="0" fontId="4" fillId="5" borderId="1" xfId="0" applyAlignment="1">
      <x:alignment horizontal="center" vertical="center"/>
    </x:xf>
    <x:xf numFmtId="0" fontId="0" fillId="6" borderId="0" xfId="0"/>
    <x:xf numFmtId="0" fontId="3" fillId="6" borderId="0" xfId="0"/>
    <x:xf numFmtId="0" fontId="3" fillId="6" borderId="0" xfId="0" applyAlignment="1">
      <x:alignment horizontal="center"/>
    </x:xf>
    <x:xf numFmtId="0" fontId="3" fillId="6" borderId="0" xfId="0" applyAlignment="1">
      <x:alignment horizontal="center" vertical="center"/>
    </x:xf>
    <x:xf numFmtId="0" fontId="0" fillId="6" borderId="1" xfId="0"/>
    <x:xf numFmtId="0" fontId="3" fillId="6" borderId="1" xfId="0"/>
    <x:xf numFmtId="0" fontId="3" fillId="6" borderId="1" xfId="0" applyAlignment="1">
      <x:alignment horizontal="center"/>
    </x:xf>
    <x:xf numFmtId="0" fontId="3" fillId="6" borderId="1" xfId="0" applyAlignment="1">
      <x:alignment horizontal="center" vertical="center"/>
    </x:xf>
    <x:xf numFmtId="164" fontId="0" fillId="0" borderId="0" xfId="0"/>
    <x:xf numFmtId="164" fontId="0" fillId="0" borderId="1" xfId="0"/>
    <x:xf numFmtId="0" fontId="0" fillId="0" borderId="0" xfId="0" applyAlignment="1">
      <x:alignment vertical="center"/>
    </x:xf>
    <x:xf numFmtId="0" fontId="3" fillId="4" borderId="0" xfId="0" applyAlignment="1">
      <x:alignment horizontal="center" vertical="center"/>
    </x:xf>
    <x:xf numFmtId="0" fontId="0" fillId="0" borderId="0" xfId="0" applyAlignment="1">
      <x:alignment vertical="center" wrapText="1"/>
    </x:xf>
    <x:xf numFmtId="0" fontId="0" fillId="0" borderId="1" xfId="0" applyAlignment="1">
      <x:alignment vertical="center"/>
    </x:xf>
    <x:xf numFmtId="0" fontId="3" fillId="4" borderId="1" xfId="0" applyAlignment="1">
      <x:alignment horizontal="center" vertical="center"/>
    </x:xf>
    <x:xf numFmtId="0" fontId="0" fillId="0" borderId="1" xfId="0" applyAlignment="1">
      <x:alignment vertical="center" wrapText="1"/>
    </x:xf>
    <x:xf numFmtId="0" fontId="5" fillId="2" borderId="0" xfId="0" applyAlignment="1">
      <x:alignment horizontal="left" vertical="center"/>
    </x:xf>
    <x:xf numFmtId="0" fontId="6" fillId="0" borderId="0" xfId="0" applyAlignment="1">
      <x:alignment vertical="center"/>
    </x:xf>
    <x:xf numFmtId="0" fontId="5" fillId="3" borderId="0" xfId="0" applyAlignment="1">
      <x:alignment horizontal="left" vertical="center"/>
    </x:xf>
    <x:xf numFmtId="0" fontId="7" fillId="4" borderId="0" xfId="0" applyAlignment="1">
      <x:alignment horizontal="center" vertical="center"/>
    </x:xf>
    <x:xf numFmtId="0" fontId="7" fillId="4" borderId="0" xfId="0" applyAlignment="1">
      <x:alignment horizontal="left" vertical="center"/>
    </x:xf>
    <x:xf numFmtId="0" fontId="6" fillId="0" borderId="0" xfId="0" applyAlignment="1">
      <x:alignment vertical="center" wrapText="1"/>
    </x:xf>
    <x:xf numFmtId="0" fontId="8" fillId="5" borderId="0" xfId="0" applyAlignment="1">
      <x:alignment horizontal="center" vertical="center"/>
    </x:xf>
    <x:xf numFmtId="0" fontId="7" fillId="6" borderId="0" xfId="0" applyAlignment="1">
      <x:alignment horizontal="center" vertical="center"/>
    </x:xf>
    <x:xf numFmtId="0" fontId="5" fillId="2" borderId="1" xfId="0" applyAlignment="1">
      <x:alignment horizontal="left" vertical="center"/>
    </x:xf>
    <x:xf numFmtId="0" fontId="6" fillId="0" borderId="1" xfId="0" applyAlignment="1">
      <x:alignment vertical="center"/>
    </x:xf>
    <x:xf numFmtId="0" fontId="5" fillId="3" borderId="1" xfId="0" applyAlignment="1">
      <x:alignment horizontal="left" vertical="center"/>
    </x:xf>
    <x:xf numFmtId="0" fontId="7" fillId="4" borderId="1" xfId="0" applyAlignment="1">
      <x:alignment horizontal="center" vertical="center"/>
    </x:xf>
    <x:xf numFmtId="0" fontId="7" fillId="4" borderId="1" xfId="0" applyAlignment="1">
      <x:alignment horizontal="left" vertical="center"/>
    </x:xf>
    <x:xf numFmtId="0" fontId="6" fillId="0" borderId="1" xfId="0" applyAlignment="1">
      <x:alignment vertical="center" wrapText="1"/>
    </x:xf>
    <x:xf numFmtId="0" fontId="8" fillId="5" borderId="1" xfId="0" applyAlignment="1">
      <x:alignment horizontal="center" vertical="center"/>
    </x:xf>
    <x:xf numFmtId="0" fontId="7" fillId="6" borderId="1" xfId="0" applyAlignment="1">
      <x:alignment horizontal="center" vertical="center"/>
    </x:xf>
    <x:xf numFmtId="0" fontId="5" fillId="2" borderId="0" xfId="0" applyAlignment="1">
      <x:alignment horizontal="left" vertical="center" wrapText="1"/>
    </x:xf>
    <x:xf numFmtId="0" fontId="5" fillId="3" borderId="0" xfId="0" applyAlignment="1">
      <x:alignment horizontal="left" vertical="center" wrapText="1"/>
    </x:xf>
    <x:xf numFmtId="0" fontId="7" fillId="4" borderId="0" xfId="0" applyAlignment="1">
      <x:alignment horizontal="center" vertical="center" wrapText="1"/>
    </x:xf>
    <x:xf numFmtId="0" fontId="7" fillId="4" borderId="0" xfId="0" applyAlignment="1">
      <x:alignment horizontal="left" vertical="center" wrapText="1"/>
    </x:xf>
    <x:xf numFmtId="0" fontId="8" fillId="5" borderId="0" xfId="0" applyAlignment="1">
      <x:alignment horizontal="center" vertical="center" wrapText="1"/>
    </x:xf>
    <x:xf numFmtId="0" fontId="7" fillId="6" borderId="0" xfId="0" applyAlignment="1">
      <x:alignment horizontal="center" vertical="center" wrapText="1"/>
    </x:xf>
    <x:xf numFmtId="0" fontId="5" fillId="2" borderId="1" xfId="0" applyAlignment="1">
      <x:alignment horizontal="left" vertical="center" wrapText="1"/>
    </x:xf>
    <x:xf numFmtId="0" fontId="5" fillId="3" borderId="1" xfId="0" applyAlignment="1">
      <x:alignment horizontal="left" vertical="center" wrapText="1"/>
    </x:xf>
    <x:xf numFmtId="0" fontId="7" fillId="4" borderId="1" xfId="0" applyAlignment="1">
      <x:alignment horizontal="center" vertical="center" wrapText="1"/>
    </x:xf>
    <x:xf numFmtId="0" fontId="7" fillId="4" borderId="1" xfId="0" applyAlignment="1">
      <x:alignment horizontal="left" vertical="center" wrapText="1"/>
    </x:xf>
    <x:xf numFmtId="0" fontId="8" fillId="5" borderId="1" xfId="0" applyAlignment="1">
      <x:alignment horizontal="center" vertical="center" wrapText="1"/>
    </x:xf>
    <x:xf numFmtId="0" fontId="7" fillId="6" borderId="1" xfId="0" applyAlignment="1">
      <x:alignment horizontal="center" vertical="center" wrapText="1"/>
    </x:xf>
    <x:xf numFmtId="164" fontId="0" fillId="0" borderId="0" xfId="0" applyAlignment="1">
      <x:alignment vertical="center"/>
    </x:xf>
    <x:xf numFmtId="164" fontId="0" fillId="0" borderId="1" xfId="0" applyAlignment="1">
      <x:alignment vertical="center"/>
    </x:xf>
    <x:xf numFmtId="164" fontId="6" fillId="0" borderId="0" xfId="0" applyAlignment="1">
      <x:alignment vertical="center"/>
    </x:xf>
    <x:xf numFmtId="164" fontId="6" fillId="0" borderId="1" xfId="0" applyAlignment="1">
      <x:alignment vertical="center"/>
    </x:xf>
    <x:xf numFmtId="164" fontId="6" fillId="0" borderId="0" xfId="0" applyAlignment="1">
      <x:alignment vertical="center" wrapText="1"/>
    </x:xf>
    <x:xf numFmtId="164" fontId="6" fillId="0" borderId="1" xfId="0" applyAlignment="1">
      <x:alignment vertical="center" wrapText="1"/>
    </x:xf>
    <x:xf numFmtId="0" fontId="9" fillId="7" borderId="1" xfId="0" applyAlignment="1">
      <x:alignment vertical="center" wrapText="1"/>
    </x:xf>
    <x:xf numFmtId="0" fontId="5" fillId="2" borderId="1" xfId="0" applyAlignment="1">
      <x:alignment vertical="center" wrapText="1"/>
    </x:xf>
    <x:xf numFmtId="0" fontId="5" fillId="3" borderId="1" xfId="0" applyAlignment="1">
      <x:alignment vertical="center" wrapText="1"/>
    </x:xf>
    <x:xf numFmtId="0" fontId="7" fillId="4" borderId="1" xfId="0" applyAlignment="1">
      <x:alignment vertical="center" wrapText="1"/>
    </x:xf>
    <x:xf numFmtId="0" fontId="7" fillId="4" borderId="0" xfId="0" applyAlignment="1">
      <x:alignment vertical="center" wrapText="1"/>
    </x:xf>
    <x:xf numFmtId="0" fontId="8" fillId="5" borderId="1" xfId="0" applyAlignment="1">
      <x:alignment vertical="center" wrapText="1"/>
    </x:xf>
    <x:xf numFmtId="0" fontId="7" fillId="6" borderId="0" xfId="0" applyAlignment="1">
      <x:alignment vertical="center" wrapText="1"/>
    </x:xf>
    <x:xf numFmtId="164" fontId="6" fillId="0" borderId="0" xfId="0" applyAlignment="1">
      <x:alignment vertical="center" wrapText="1"/>
    </x:xf>
    <x:xf numFmtId="164" fontId="0" fillId="0" borderId="0" xfId="0" applyNumberFormat="1" applyFont="1" applyFill="1" applyBorder="1"/>
    <x:xf numFmtId="0" fontId="6" fillId="8" borderId="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applyAlignment="1">
      <x:alignment vertical="center" wrapText="1"/>
    </x:xf>
    <x:xf numFmtId="0" fontId="11" fillId="8" borderId="0" xfId="0" applyNumberFormat="1" applyFont="1" applyFill="1" applyBorder="1"/>
    <x:xf numFmtId="0" fontId="11" fillId="8"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applyAlignment="1">
      <x:alignment vertical="center" wrapText="1"/>
    </x:xf>
    <x:xf numFmtId="0" fontId="2" fillId="9" borderId="0" xfId="0" applyNumberFormat="1" applyFont="1" applyFill="1" applyBorder="1"/>
    <x:xf numFmtId="0" fontId="7" fillId="10" borderId="0" xfId="0" applyNumberFormat="1" applyFont="1" applyFill="1" applyBorder="1" applyAlignment="1">
      <x:alignment vertical="center"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5" fillId="9"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0" xfId="0" applyNumberFormat="1" applyFont="1" applyFill="1" applyBorder="1" applyAlignment="1">
      <x:alignment vertical="top"/>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vertical="center"/>
    </x:xf>
    <x:xf numFmtId="0" fontId="3" fillId="10" borderId="0" xfId="0" applyNumberFormat="1" applyFont="1" applyFill="1" applyBorder="1"/>
    <x:xf numFmtId="0" fontId="3" fillId="10" borderId="2" xfId="0" applyNumberFormat="1" applyFont="1" applyFill="1" applyBorder="1"/>
    <x:xf numFmtId="0" fontId="3" fillId="10" borderId="3" xfId="0" applyNumberFormat="1" applyFont="1" applyFill="1" applyBorder="1"/>
    <x:xf numFmtId="0" fontId="3" fillId="10" borderId="4" xfId="0" applyNumberFormat="1" applyFont="1" applyFill="1" applyBorder="1"/>
    <x:xf numFmtId="0" fontId="3" fillId="10" borderId="2" xfId="0" applyNumberFormat="1" applyFont="1" applyFill="1" applyBorder="1" applyAlignment="1">
      <x:alignment wrapText="1"/>
    </x:xf>
    <x:xf numFmtId="0" fontId="3" fillId="10" borderId="3" xfId="0" applyNumberFormat="1" applyFont="1" applyFill="1" applyBorder="1" applyAlignment="1">
      <x:alignment wrapText="1"/>
    </x:xf>
    <x:xf numFmtId="0" fontId="3" fillId="10" borderId="4" xfId="0" applyNumberFormat="1" applyFont="1" applyFill="1" applyBorder="1" applyAlignment="1">
      <x:alignment wrapText="1"/>
    </x:xf>
    <x:xf numFmtId="0" fontId="3" fillId="10" borderId="2" xfId="0" applyNumberFormat="1" applyFont="1" applyFill="1" applyBorder="1" applyAlignment="1">
      <x:alignment vertical="center" wrapText="1"/>
    </x:xf>
    <x:xf numFmtId="0" fontId="3" fillId="10" borderId="3" xfId="0" applyNumberFormat="1" applyFont="1" applyFill="1" applyBorder="1" applyAlignment="1">
      <x:alignment vertical="center" wrapText="1"/>
    </x:xf>
    <x:xf numFmtId="0" fontId="3" fillId="10" borderId="4"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0" fillId="0" borderId="5" xfId="0" applyNumberFormat="1" applyFont="1" applyFill="1" applyBorder="1"/>
    <x:xf numFmtId="164" fontId="0" fillId="0" borderId="6" xfId="0" applyNumberFormat="1" applyFont="1" applyFill="1" applyBorder="1"/>
    <x:xf numFmtId="200" fontId="0" fillId="0" borderId="6" xfId="0" applyNumberFormat="1" applyFont="1" applyFill="1" applyBorder="1"/>
    <x:xf numFmtId="0" fontId="0" fillId="0" borderId="6" xfId="0" applyNumberFormat="1" applyFont="1" applyFill="1" applyBorder="1"/>
    <x:xf numFmtId="201"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164" fontId="0" fillId="0" borderId="9" xfId="0" applyNumberFormat="1" applyFont="1" applyFill="1" applyBorder="1"/>
    <x:xf numFmtId="200" fontId="0" fillId="0" borderId="9" xfId="0" applyNumberFormat="1" applyFont="1" applyFill="1" applyBorder="1"/>
    <x:xf numFmtId="0" fontId="0" fillId="0" borderId="9" xfId="0" applyNumberFormat="1" applyFont="1" applyFill="1" applyBorder="1"/>
    <x:xf numFmtId="201"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164" fontId="0" fillId="0" borderId="12" xfId="0" applyNumberFormat="1" applyFont="1" applyFill="1" applyBorder="1"/>
    <x:xf numFmtId="200" fontId="0" fillId="0" borderId="12" xfId="0" applyNumberFormat="1" applyFont="1" applyFill="1" applyBorder="1"/>
    <x:xf numFmtId="0" fontId="0" fillId="0" borderId="12" xfId="0" applyNumberFormat="1" applyFont="1" applyFill="1" applyBorder="1"/>
    <x:xf numFmtId="201" fontId="0" fillId="0" borderId="12" xfId="0" applyNumberFormat="1" applyFont="1" applyFill="1" applyBorder="1"/>
    <x:xf numFmtId="0" fontId="0" fillId="0" borderId="13" xfId="0" applyNumberFormat="1" applyFont="1" applyFill="1" applyBorder="1"/>
    <x:xf numFmtId="0" fontId="0" fillId="0" borderId="5" xfId="0" applyNumberFormat="1" applyFont="1" applyFill="1" applyBorder="1" applyAlignment="1">
      <x:alignment wrapText="1"/>
    </x:xf>
    <x:xf numFmtId="164" fontId="0" fillId="0" borderId="6" xfId="0" applyNumberFormat="1" applyFont="1" applyFill="1" applyBorder="1" applyAlignment="1">
      <x:alignment wrapText="1"/>
    </x:xf>
    <x:xf numFmtId="200" fontId="0" fillId="0" borderId="6" xfId="0" applyNumberFormat="1" applyFont="1" applyFill="1" applyBorder="1" applyAlignment="1">
      <x:alignment wrapText="1"/>
    </x:xf>
    <x:xf numFmtId="0" fontId="0" fillId="0" borderId="6" xfId="0" applyNumberFormat="1" applyFont="1" applyFill="1" applyBorder="1" applyAlignment="1">
      <x:alignment wrapText="1"/>
    </x:xf>
    <x:xf numFmtId="201"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164" fontId="0" fillId="0" borderId="9" xfId="0" applyNumberFormat="1" applyFont="1" applyFill="1" applyBorder="1" applyAlignment="1">
      <x:alignment wrapText="1"/>
    </x:xf>
    <x:xf numFmtId="200" fontId="0" fillId="0" borderId="9" xfId="0" applyNumberFormat="1" applyFont="1" applyFill="1" applyBorder="1" applyAlignment="1">
      <x:alignment wrapText="1"/>
    </x:xf>
    <x:xf numFmtId="0" fontId="0" fillId="0" borderId="9" xfId="0" applyNumberFormat="1" applyFont="1" applyFill="1" applyBorder="1" applyAlignment="1">
      <x:alignment wrapText="1"/>
    </x:xf>
    <x:xf numFmtId="201"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164" fontId="0" fillId="0" borderId="12" xfId="0" applyNumberFormat="1" applyFont="1" applyFill="1" applyBorder="1" applyAlignment="1">
      <x:alignment wrapText="1"/>
    </x:xf>
    <x:xf numFmtId="200" fontId="0" fillId="0" borderId="12" xfId="0" applyNumberFormat="1" applyFont="1" applyFill="1" applyBorder="1" applyAlignment="1">
      <x:alignment wrapText="1"/>
    </x:xf>
    <x:xf numFmtId="0" fontId="0" fillId="0" borderId="12" xfId="0" applyNumberFormat="1" applyFont="1" applyFill="1" applyBorder="1" applyAlignment="1">
      <x:alignment wrapText="1"/>
    </x:xf>
    <x:xf numFmtId="201"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1" fillId="9" borderId="0" xfId="0" applyNumberFormat="1" applyFont="1" applyFill="1" applyBorder="1"/>
    <x:xf numFmtId="0" fontId="1" fillId="9" borderId="0" xfId="0" applyNumberFormat="1" applyFont="1" applyFill="1" applyBorder="1" applyAlignment="1">
      <x:alignment vertical="center"/>
    </x:xf>
    <x:xf numFmtId="0" fontId="1" fillId="9"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vertical="center"/>
    </x:xf>
    <x:xf numFmtId="0" fontId="0" fillId="15" borderId="0" xfId="0" applyNumberFormat="1" applyFont="1" applyFill="1" applyBorder="1"/>
    <x:xf numFmtId="0" fontId="3" fillId="15" borderId="0" xfId="0" applyNumberFormat="1" applyFont="1" applyFill="1" applyBorder="1"/>
    <x:xf numFmtId="0" fontId="3" fillId="15" borderId="2" xfId="0" applyNumberFormat="1" applyFont="1" applyFill="1" applyBorder="1"/>
    <x:xf numFmtId="0" fontId="3" fillId="15" borderId="3" xfId="0" applyNumberFormat="1" applyFont="1" applyFill="1" applyBorder="1"/>
    <x:xf numFmtId="0" fontId="3" fillId="15" borderId="4" xfId="0" applyNumberFormat="1" applyFont="1" applyFill="1" applyBorder="1"/>
    <x:xf numFmtId="0" fontId="3" fillId="15" borderId="2" xfId="0" applyNumberFormat="1" applyFont="1" applyFill="1" applyBorder="1" applyAlignment="1">
      <x:alignment wrapText="1"/>
    </x:xf>
    <x:xf numFmtId="0" fontId="3" fillId="15" borderId="3" xfId="0" applyNumberFormat="1" applyFont="1" applyFill="1" applyBorder="1" applyAlignment="1">
      <x:alignment wrapText="1"/>
    </x:xf>
    <x:xf numFmtId="0" fontId="3" fillId="15" borderId="4" xfId="0" applyNumberFormat="1" applyFont="1" applyFill="1" applyBorder="1" applyAlignment="1">
      <x:alignment wrapText="1"/>
    </x:xf>
    <x:xf numFmtId="0" fontId="3" fillId="15" borderId="2" xfId="0" applyNumberFormat="1" applyFont="1" applyFill="1" applyBorder="1" applyAlignment="1">
      <x:alignment vertical="center" wrapText="1"/>
    </x:xf>
    <x:xf numFmtId="0" fontId="3" fillId="15" borderId="3" xfId="0" applyNumberFormat="1" applyFont="1" applyFill="1" applyBorder="1" applyAlignment="1">
      <x:alignment vertical="center" wrapText="1"/>
    </x:xf>
    <x:xf numFmtId="0" fontId="3" fillId="15" borderId="4" xfId="0" applyNumberFormat="1" applyFont="1" applyFill="1" applyBorder="1" applyAlignment="1">
      <x:alignment vertical="center" wrapText="1"/>
    </x:xf>
    <x:xf numFmtId="202" fontId="0" fillId="0" borderId="0" xfId="0" applyNumberFormat="1" applyFont="1" applyFill="1" applyBorder="1"/>
    <x:xf numFmtId="202" fontId="0" fillId="13" borderId="0" xfId="0" applyNumberFormat="1" applyFont="1" applyFill="1" applyBorder="1"/>
    <x:xf numFmtId="0" fontId="13" fillId="13" borderId="0" xfId="0" applyNumberFormat="1" applyFont="1" applyFill="1" applyBorder="1"/>
    <x:xf numFmtId="202" fontId="13" fillId="13" borderId="0" xfId="0" applyNumberFormat="1" applyFont="1" applyFill="1" applyBorder="1"/>
    <x:xf numFmtId="0" fontId="13" fillId="13" borderId="2" xfId="0" applyNumberFormat="1" applyFont="1" applyFill="1" applyBorder="1"/>
    <x:xf numFmtId="0" fontId="13" fillId="13" borderId="3" xfId="0" applyNumberFormat="1" applyFont="1" applyFill="1" applyBorder="1"/>
    <x:xf numFmtId="202" fontId="13" fillId="13" borderId="3" xfId="0" applyNumberFormat="1" applyFont="1" applyFill="1" applyBorder="1"/>
    <x:xf numFmtId="0" fontId="13" fillId="13" borderId="4" xfId="0" applyNumberFormat="1" applyFont="1" applyFill="1" applyBorder="1"/>
    <x:xf numFmtId="0" fontId="13" fillId="13" borderId="2" xfId="0" applyNumberFormat="1" applyFont="1" applyFill="1" applyBorder="1" applyAlignment="1">
      <x:alignment wrapText="1"/>
    </x:xf>
    <x:xf numFmtId="0" fontId="13" fillId="13" borderId="3" xfId="0" applyNumberFormat="1" applyFont="1" applyFill="1" applyBorder="1" applyAlignment="1">
      <x:alignment wrapText="1"/>
    </x:xf>
    <x:xf numFmtId="202" fontId="13" fillId="13" borderId="3" xfId="0" applyNumberFormat="1" applyFont="1" applyFill="1" applyBorder="1" applyAlignment="1">
      <x:alignment wrapText="1"/>
    </x:xf>
    <x:xf numFmtId="0" fontId="13" fillId="13" borderId="4"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3" fillId="17" borderId="2" xfId="0" applyNumberFormat="1" applyFont="1" applyFill="1" applyBorder="1"/>
    <x:xf numFmtId="0" fontId="3" fillId="17" borderId="3" xfId="0" applyNumberFormat="1" applyFont="1" applyFill="1" applyBorder="1"/>
    <x:xf numFmtId="0" fontId="3" fillId="17" borderId="4" xfId="0" applyNumberFormat="1" applyFont="1" applyFill="1" applyBorder="1"/>
    <x:xf numFmtId="0" fontId="3" fillId="17" borderId="2" xfId="0" applyNumberFormat="1" applyFont="1" applyFill="1" applyBorder="1" applyAlignment="1">
      <x:alignment wrapText="1"/>
    </x:xf>
    <x:xf numFmtId="0" fontId="3" fillId="17" borderId="3" xfId="0" applyNumberFormat="1" applyFont="1" applyFill="1" applyBorder="1" applyAlignment="1">
      <x:alignment wrapText="1"/>
    </x:xf>
    <x:xf numFmtId="0" fontId="3" fillId="17" borderId="4" xfId="0" applyNumberFormat="1" applyFont="1" applyFill="1" applyBorder="1" applyAlignment="1">
      <x:alignment wrapText="1"/>
    </x:xf>
    <x:xf numFmtId="0" fontId="3" fillId="17" borderId="2" xfId="0" applyNumberFormat="1" applyFont="1" applyFill="1" applyBorder="1" applyAlignment="1">
      <x:alignment vertical="center" wrapText="1"/>
    </x:xf>
    <x:xf numFmtId="0" fontId="3" fillId="17" borderId="3" xfId="0" applyNumberFormat="1" applyFont="1" applyFill="1" applyBorder="1" applyAlignment="1">
      <x:alignment vertical="center" wrapText="1"/>
    </x:xf>
    <x:xf numFmtId="0" fontId="3" fillId="17" borderId="4" xfId="0" applyNumberFormat="1" applyFont="1" applyFill="1" applyBorder="1" applyAlignment="1">
      <x:alignment vertical="center" wrapText="1"/>
    </x:xf>
    <x:xf numFmtId="0" fontId="2" fillId="1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164" fontId="0" fillId="0" borderId="0" xfId="0" applyNumberFormat="1" applyFont="1" applyFill="1" applyBorder="1" applyAlignment="1">
      <x:alignment wrapText="1"/>
    </x:xf>
    <x:xf numFmtId="0" fontId="12" fillId="6"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6" borderId="2" xfId="0" applyNumberFormat="1" applyFont="1" applyFill="1" applyBorder="1" applyAlignment="1">
      <x:alignment vertical="center" wrapText="1"/>
    </x:xf>
    <x:xf numFmtId="0" fontId="3" fillId="6" borderId="3" xfId="0" applyNumberFormat="1" applyFont="1" applyFill="1" applyBorder="1" applyAlignment="1">
      <x:alignment vertical="center" wrapText="1"/>
    </x:xf>
    <x:xf numFmtId="0" fontId="3" fillId="6" borderId="4"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2" xfId="0" applyNumberFormat="1" applyFont="1" applyFill="1" applyBorder="1"/>
    <x:xf numFmtId="0" fontId="3" fillId="20" borderId="3" xfId="0" applyNumberFormat="1" applyFont="1" applyFill="1" applyBorder="1"/>
    <x:xf numFmtId="0" fontId="3" fillId="20" borderId="4" xfId="0" applyNumberFormat="1" applyFont="1" applyFill="1" applyBorder="1"/>
    <x:xf numFmtId="0" fontId="3" fillId="20" borderId="2" xfId="0" applyNumberFormat="1" applyFont="1" applyFill="1" applyBorder="1" applyAlignment="1">
      <x:alignment wrapText="1"/>
    </x:xf>
    <x:xf numFmtId="0" fontId="3" fillId="20" borderId="3" xfId="0" applyNumberFormat="1" applyFont="1" applyFill="1" applyBorder="1" applyAlignment="1">
      <x:alignment wrapText="1"/>
    </x:xf>
    <x:xf numFmtId="0" fontId="3" fillId="20" borderId="4" xfId="0" applyNumberFormat="1" applyFont="1" applyFill="1" applyBorder="1" applyAlignment="1">
      <x:alignment wrapText="1"/>
    </x:xf>
    <x:xf numFmtId="0" fontId="3" fillId="20" borderId="2" xfId="0" applyNumberFormat="1" applyFont="1" applyFill="1" applyBorder="1" applyAlignment="1">
      <x:alignment vertical="center" wrapText="1"/>
    </x:xf>
    <x:xf numFmtId="0" fontId="3" fillId="20" borderId="3" xfId="0" applyNumberFormat="1" applyFont="1" applyFill="1" applyBorder="1" applyAlignment="1">
      <x:alignment vertical="center" wrapText="1"/>
    </x:xf>
    <x:xf numFmtId="0" fontId="3" fillId="20" borderId="4" xfId="0" applyNumberFormat="1" applyFont="1" applyFill="1" applyBorder="1" applyAlignment="1">
      <x:alignment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vertical="center"/>
    </x:xf>
    <x:xf numFmtId="200" fontId="0" fillId="0" borderId="7" xfId="0" applyNumberFormat="1" applyFont="1" applyFill="1" applyBorder="1" applyAlignment="1">
      <x:alignment wrapText="1"/>
    </x:xf>
    <x:xf numFmtId="200" fontId="0" fillId="0" borderId="10" xfId="0" applyNumberFormat="1" applyFont="1" applyFill="1" applyBorder="1" applyAlignment="1">
      <x:alignment wrapText="1"/>
    </x:xf>
    <x:xf numFmtId="0" fontId="12" fillId="0" borderId="5" xfId="0" applyNumberFormat="1" applyFont="1" applyFill="1" applyBorder="1" applyAlignment="1">
      <x:alignment wrapText="1"/>
    </x:xf>
    <x:xf numFmtId="0" fontId="12" fillId="0" borderId="8" xfId="0" applyNumberFormat="1" applyFont="1" applyFill="1" applyBorder="1" applyAlignment="1">
      <x:alignment wrapText="1"/>
    </x:xf>
    <x:xf numFmtId="0" fontId="12" fillId="0" borderId="11" xfId="0" applyNumberFormat="1" applyFont="1" applyFill="1" applyBorder="1" applyAlignment="1">
      <x:alignment wrapText="1"/>
    </x:xf>
    <x:xf numFmtId="200" fontId="0" fillId="22" borderId="7" xfId="0" applyNumberFormat="1" applyFont="1" applyFill="1" applyBorder="1" applyAlignment="1">
      <x:alignment wrapText="1"/>
    </x:xf>
    <x:xf numFmtId="200" fontId="0" fillId="22" borderId="10" xfId="0" applyNumberFormat="1" applyFont="1" applyFill="1" applyBorder="1" applyAlignment="1">
      <x:alignment wrapText="1"/>
    </x:xf>
    <x:xf numFmtId="200" fontId="14" fillId="22" borderId="7" xfId="0" applyNumberFormat="1" applyFont="1" applyFill="1" applyBorder="1" applyAlignment="1">
      <x:alignment wrapText="1"/>
    </x:xf>
    <x:xf numFmtId="200" fontId="14" fillId="22" borderId="10" xfId="0" applyNumberFormat="1" applyFont="1" applyFill="1" applyBorder="1" applyAlignment="1">
      <x:alignment wrapText="1"/>
    </x:xf>
    <x:xf numFmtId="200" fontId="0" fillId="19" borderId="10" xfId="0" applyNumberFormat="1" applyFont="1" applyFill="1" applyBorder="1" applyAlignment="1">
      <x:alignment wrapText="1"/>
    </x:xf>
    <x:xf numFmtId="200" fontId="13" fillId="19" borderId="10" xfId="0" applyNumberFormat="1" applyFont="1" applyFill="1" applyBorder="1" applyAlignment="1">
      <x:alignment wrapText="1"/>
    </x:xf>
    <x:xf numFmtId="200" fontId="0" fillId="0" borderId="13" xfId="0" applyNumberFormat="1" applyFont="1" applyFill="1" applyBorder="1" applyAlignment="1">
      <x:alignment wrapText="1"/>
    </x:xf>
    <x:xf numFmtId="200" fontId="0" fillId="19" borderId="13" xfId="0" applyNumberFormat="1" applyFont="1" applyFill="1" applyBorder="1" applyAlignment="1">
      <x:alignment wrapText="1"/>
    </x:xf>
    <x:xf numFmtId="200" fontId="13" fillId="19" borderId="13" xfId="0" applyNumberFormat="1" applyFont="1" applyFill="1" applyBorder="1" applyAlignment="1">
      <x:alignment wrapText="1"/>
    </x:xf>
    <x:xf numFmtId="0" fontId="1" fillId="18" borderId="0" xfId="0" applyNumberFormat="1" applyFont="1" applyFill="1" applyBorder="1" applyAlignment="1">
      <x:alignment vertical="center" wrapText="1"/>
    </x:xf>
    <x:xf numFmtId="200" fontId="13" fillId="8" borderId="3" xfId="0" applyNumberFormat="1" applyFont="1" applyFill="1" applyBorder="1" applyAlignment="1">
      <x:alignment wrapText="1"/>
    </x:xf>
    <x:xf numFmtId="0" fontId="13" fillId="8" borderId="2" xfId="0" applyNumberFormat="1" applyFont="1" applyFill="1" applyBorder="1" applyAlignment="1">
      <x:alignment wrapText="1"/>
    </x:xf>
    <x:xf numFmtId="0" fontId="13" fillId="8" borderId="3" xfId="0" applyNumberFormat="1" applyFont="1" applyFill="1" applyBorder="1" applyAlignment="1">
      <x:alignment wrapText="1"/>
    </x:xf>
    <x:xf numFmtId="0" fontId="13" fillId="8" borderId="4"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1" fillId="24" borderId="0" xfId="0" applyNumberFormat="1" applyFont="1" applyFill="1" applyBorder="1"/>
    <x:xf numFmtId="0" fontId="11"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2" xfId="0" applyNumberFormat="1" applyFont="1" applyFill="1" applyBorder="1"/>
    <x:xf numFmtId="0" fontId="3" fillId="25" borderId="3" xfId="0" applyNumberFormat="1" applyFont="1" applyFill="1" applyBorder="1"/>
    <x:xf numFmtId="0" fontId="3" fillId="25" borderId="4" xfId="0" applyNumberFormat="1" applyFont="1" applyFill="1" applyBorder="1"/>
    <x:xf numFmtId="0" fontId="3" fillId="25" borderId="2" xfId="0" applyNumberFormat="1" applyFont="1" applyFill="1" applyBorder="1" applyAlignment="1">
      <x:alignment wrapText="1"/>
    </x:xf>
    <x:xf numFmtId="0" fontId="3" fillId="25" borderId="3" xfId="0" applyNumberFormat="1" applyFont="1" applyFill="1" applyBorder="1" applyAlignment="1">
      <x:alignment wrapText="1"/>
    </x:xf>
    <x:xf numFmtId="0" fontId="3" fillId="25" borderId="4" xfId="0" applyNumberFormat="1" applyFont="1" applyFill="1" applyBorder="1" applyAlignment="1">
      <x:alignment wrapText="1"/>
    </x:xf>
    <x:xf numFmtId="0" fontId="3" fillId="25" borderId="2" xfId="0" applyNumberFormat="1" applyFont="1" applyFill="1" applyBorder="1" applyAlignment="1">
      <x:alignment vertical="center" wrapText="1"/>
    </x:xf>
    <x:xf numFmtId="0" fontId="3" fillId="25" borderId="3" xfId="0" applyNumberFormat="1" applyFont="1" applyFill="1" applyBorder="1" applyAlignment="1">
      <x:alignment vertical="center" wrapText="1"/>
    </x:xf>
    <x:xf numFmtId="0" fontId="3" fillId="25" borderId="4" xfId="0" applyNumberFormat="1" applyFont="1" applyFill="1" applyBorder="1" applyAlignment="1">
      <x:alignment vertical="center"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vertical="center"/>
    </x:xf>
    <x:xf numFmtId="200" fontId="0" fillId="27" borderId="7" xfId="0" applyNumberFormat="1" applyFont="1" applyFill="1" applyBorder="1" applyAlignment="1">
      <x:alignment wrapText="1"/>
    </x:xf>
    <x:xf numFmtId="200" fontId="0" fillId="27" borderId="10" xfId="0" applyNumberFormat="1" applyFont="1" applyFill="1" applyBorder="1" applyAlignment="1">
      <x:alignment wrapText="1"/>
    </x:xf>
    <x:xf numFmtId="200" fontId="14" fillId="27" borderId="7" xfId="0" applyNumberFormat="1" applyFont="1" applyFill="1" applyBorder="1" applyAlignment="1">
      <x:alignment wrapText="1"/>
    </x:xf>
    <x:xf numFmtId="200" fontId="14" fillId="27" borderId="10" xfId="0" applyNumberFormat="1" applyFont="1" applyFill="1" applyBorder="1" applyAlignment="1">
      <x:alignment wrapText="1"/>
    </x:xf>
    <x:xf numFmtId="200" fontId="0" fillId="24" borderId="10" xfId="0" applyNumberFormat="1" applyFont="1" applyFill="1" applyBorder="1" applyAlignment="1">
      <x:alignment wrapText="1"/>
    </x:xf>
    <x:xf numFmtId="200" fontId="13" fillId="24" borderId="10" xfId="0" applyNumberFormat="1" applyFont="1" applyFill="1" applyBorder="1" applyAlignment="1">
      <x:alignment wrapText="1"/>
    </x:xf>
    <x:xf numFmtId="200" fontId="0" fillId="24" borderId="13" xfId="0" applyNumberFormat="1" applyFont="1" applyFill="1" applyBorder="1" applyAlignment="1">
      <x:alignment wrapText="1"/>
    </x:xf>
    <x:xf numFmtId="200" fontId="13" fillId="24" borderId="13" xfId="0" applyNumberFormat="1" applyFont="1" applyFill="1" applyBorder="1" applyAlignment="1">
      <x:alignment wrapText="1"/>
    </x:xf>
    <x:xf numFmtId="0" fontId="1" fillId="23" borderId="0" xfId="0" applyNumberFormat="1" applyFont="1" applyFill="1" applyBorder="1" applyAlignment="1">
      <x:alignment vertical="center" wrapText="1"/>
    </x:xf>
    <x:xf numFmtId="200" fontId="13" fillId="8" borderId="10" xfId="0" applyNumberFormat="1" applyFont="1" applyFill="1" applyBorder="1" applyAlignment="1">
      <x:alignment wrapText="1"/>
    </x:xf>
    <x:xf numFmtId="0" fontId="2" fillId="28" borderId="0" xfId="0" applyNumberFormat="1" applyFont="1" applyFill="1" applyBorder="1" applyAlignment="1">
      <x:alignment vertical="center"/>
    </x:xf>
    <x:xf numFmtId="0" fontId="0" fillId="28" borderId="0" xfId="0" applyNumberFormat="1" applyFont="1" applyFill="1" applyBorder="1"/>
    <x:xf numFmtId="0" fontId="2" fillId="28" borderId="0" xfId="0" applyNumberFormat="1" applyFont="1" applyFill="1" applyBorder="1"/>
    <x:xf numFmtId="200" fontId="0" fillId="29" borderId="10" xfId="0" applyNumberFormat="1" applyFont="1" applyFill="1" applyBorder="1" applyAlignment="1">
      <x:alignment wrapText="1"/>
    </x:xf>
    <x:xf numFmtId="200" fontId="0" fillId="29" borderId="13" xfId="0" applyNumberFormat="1" applyFont="1" applyFill="1" applyBorder="1" applyAlignment="1">
      <x:alignment wrapText="1"/>
    </x:xf>
    <x:xf numFmtId="200" fontId="13" fillId="29" borderId="10" xfId="0" applyNumberFormat="1" applyFont="1" applyFill="1" applyBorder="1" applyAlignment="1">
      <x:alignment wrapText="1"/>
    </x:xf>
    <x:xf numFmtId="200" fontId="13" fillId="29" borderId="13" xfId="0" applyNumberFormat="1" applyFont="1" applyFill="1" applyBorder="1" applyAlignment="1">
      <x:alignment wrapText="1"/>
    </x:xf>
    <x:xf numFmtId="0" fontId="2" fillId="28" borderId="0" xfId="0" applyNumberFormat="1" applyFont="1" applyFill="1" applyBorder="1" applyAlignment="1">
      <x:alignment vertical="center" wrapText="1"/>
    </x:xf>
    <x:xf numFmtId="200" fontId="13" fillId="8" borderId="13"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2" xfId="0" applyNumberFormat="1" applyFont="1" applyFill="1" applyBorder="1"/>
    <x:xf numFmtId="0" fontId="3" fillId="30" borderId="3" xfId="0" applyNumberFormat="1" applyFont="1" applyFill="1" applyBorder="1"/>
    <x:xf numFmtId="0" fontId="3" fillId="30" borderId="4" xfId="0" applyNumberFormat="1" applyFont="1" applyFill="1" applyBorder="1"/>
    <x:xf numFmtId="0" fontId="3" fillId="30" borderId="2" xfId="0" applyNumberFormat="1" applyFont="1" applyFill="1" applyBorder="1" applyAlignment="1">
      <x:alignment wrapText="1"/>
    </x:xf>
    <x:xf numFmtId="0" fontId="3" fillId="30" borderId="3" xfId="0" applyNumberFormat="1" applyFont="1" applyFill="1" applyBorder="1" applyAlignment="1">
      <x:alignment wrapText="1"/>
    </x:xf>
    <x:xf numFmtId="0" fontId="3" fillId="30" borderId="4" xfId="0" applyNumberFormat="1" applyFont="1" applyFill="1" applyBorder="1" applyAlignment="1">
      <x:alignment wrapText="1"/>
    </x:xf>
    <x:xf numFmtId="0" fontId="3" fillId="30" borderId="2" xfId="0" applyNumberFormat="1" applyFont="1" applyFill="1" applyBorder="1" applyAlignment="1">
      <x:alignment vertical="center" wrapText="1"/>
    </x:xf>
    <x:xf numFmtId="0" fontId="3" fillId="30" borderId="3" xfId="0" applyNumberFormat="1" applyFont="1" applyFill="1" applyBorder="1" applyAlignment="1">
      <x:alignment vertical="center" wrapText="1"/>
    </x:xf>
    <x:xf numFmtId="0" fontId="3" fillId="30" borderId="4" xfId="0" applyNumberFormat="1" applyFont="1" applyFill="1" applyBorder="1" applyAlignment="1">
      <x:alignment vertical="center" wrapText="1"/>
    </x:xf>
    <x:xf numFmtId="0" fontId="2" fillId="31" borderId="0" xfId="0" applyNumberFormat="1" applyFont="1" applyFill="1" applyBorder="1" applyAlignment="1">
      <x:alignment vertical="center" wrapText="1"/>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vertical="center"/>
    </x:xf>
    <x:xf numFmtId="200" fontId="0" fillId="32" borderId="10" xfId="0" applyNumberFormat="1" applyFont="1" applyFill="1" applyBorder="1" applyAlignment="1">
      <x:alignment wrapText="1"/>
    </x:xf>
    <x:xf numFmtId="200" fontId="0" fillId="32" borderId="13" xfId="0" applyNumberFormat="1" applyFont="1" applyFill="1" applyBorder="1" applyAlignment="1">
      <x:alignment wrapText="1"/>
    </x:xf>
    <x:xf numFmtId="200" fontId="13" fillId="32" borderId="10" xfId="0" applyNumberFormat="1" applyFont="1" applyFill="1" applyBorder="1" applyAlignment="1">
      <x:alignment wrapText="1"/>
    </x:xf>
    <x:xf numFmtId="200" fontId="13" fillId="32" borderId="13"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33" borderId="0" xfId="0" applyNumberFormat="1" applyFont="1" applyFill="1" applyBorder="1"/>
    <x:xf numFmtId="0" fontId="3" fillId="33" borderId="0" xfId="0" applyNumberFormat="1" applyFont="1" applyFill="1" applyBorder="1"/>
    <x:xf numFmtId="0" fontId="3" fillId="33" borderId="2" xfId="0" applyNumberFormat="1" applyFont="1" applyFill="1" applyBorder="1"/>
    <x:xf numFmtId="0" fontId="3" fillId="33" borderId="3" xfId="0" applyNumberFormat="1" applyFont="1" applyFill="1" applyBorder="1"/>
    <x:xf numFmtId="0" fontId="3" fillId="33" borderId="4" xfId="0" applyNumberFormat="1" applyFont="1" applyFill="1" applyBorder="1"/>
    <x:xf numFmtId="0" fontId="3" fillId="33" borderId="2" xfId="0" applyNumberFormat="1" applyFont="1" applyFill="1" applyBorder="1" applyAlignment="1">
      <x:alignment wrapText="1"/>
    </x:xf>
    <x:xf numFmtId="0" fontId="3" fillId="33" borderId="3" xfId="0" applyNumberFormat="1" applyFont="1" applyFill="1" applyBorder="1" applyAlignment="1">
      <x:alignment wrapText="1"/>
    </x:xf>
    <x:xf numFmtId="0" fontId="3" fillId="33" borderId="4" xfId="0" applyNumberFormat="1" applyFont="1" applyFill="1" applyBorder="1" applyAlignment="1">
      <x:alignment wrapText="1"/>
    </x:xf>
    <x:xf numFmtId="0" fontId="3" fillId="33" borderId="2" xfId="0" applyNumberFormat="1" applyFont="1" applyFill="1" applyBorder="1" applyAlignment="1">
      <x:alignment vertical="center" wrapText="1"/>
    </x:xf>
    <x:xf numFmtId="0" fontId="3" fillId="33" borderId="3" xfId="0" applyNumberFormat="1" applyFont="1" applyFill="1" applyBorder="1" applyAlignment="1">
      <x:alignment vertical="center" wrapText="1"/>
    </x:xf>
    <x:xf numFmtId="0" fontId="3" fillId="33" borderId="4"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2" fillId="34" borderId="0" xfId="0" applyNumberFormat="1" applyFont="1" applyFill="1" applyBorder="1" applyAlignment="1">
      <x:alignment vertical="center" wrapText="1"/>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vertical="center"/>
    </x:xf>
    <x:xf numFmtId="200" fontId="0" fillId="35" borderId="10" xfId="0" applyNumberFormat="1" applyFont="1" applyFill="1" applyBorder="1" applyAlignment="1">
      <x:alignment wrapText="1"/>
    </x:xf>
    <x:xf numFmtId="200" fontId="0" fillId="35" borderId="13" xfId="0" applyNumberFormat="1" applyFont="1" applyFill="1" applyBorder="1" applyAlignment="1">
      <x:alignment wrapText="1"/>
    </x:xf>
    <x:xf numFmtId="200" fontId="13" fillId="35" borderId="10" xfId="0" applyNumberFormat="1" applyFont="1" applyFill="1" applyBorder="1" applyAlignment="1">
      <x:alignment wrapText="1"/>
    </x:xf>
    <x:xf numFmtId="200" fontId="13" fillId="35" borderId="13" xfId="0" applyNumberFormat="1" applyFont="1" applyFill="1" applyBorder="1" applyAlignment="1">
      <x:alignment wrapText="1"/>
    </x:xf>
    <x:xf numFmtId="0" fontId="0" fillId="36" borderId="0" xfId="0" applyNumberFormat="1" applyFont="1" applyFill="1" applyBorder="1"/>
    <x:xf numFmtId="0" fontId="3" fillId="36" borderId="0" xfId="0" applyNumberFormat="1" applyFont="1" applyFill="1" applyBorder="1"/>
    <x:xf numFmtId="0" fontId="3" fillId="36" borderId="2" xfId="0" applyNumberFormat="1" applyFont="1" applyFill="1" applyBorder="1"/>
    <x:xf numFmtId="0" fontId="3" fillId="36" borderId="3" xfId="0" applyNumberFormat="1" applyFont="1" applyFill="1" applyBorder="1"/>
    <x:xf numFmtId="0" fontId="3" fillId="36" borderId="4" xfId="0" applyNumberFormat="1" applyFont="1" applyFill="1" applyBorder="1"/>
    <x:xf numFmtId="0" fontId="3" fillId="36" borderId="2" xfId="0" applyNumberFormat="1" applyFont="1" applyFill="1" applyBorder="1" applyAlignment="1">
      <x:alignment wrapText="1"/>
    </x:xf>
    <x:xf numFmtId="0" fontId="3" fillId="36" borderId="3" xfId="0" applyNumberFormat="1" applyFont="1" applyFill="1" applyBorder="1" applyAlignment="1">
      <x:alignment wrapText="1"/>
    </x:xf>
    <x:xf numFmtId="0" fontId="3" fillId="36" borderId="4" xfId="0" applyNumberFormat="1" applyFont="1" applyFill="1" applyBorder="1" applyAlignment="1">
      <x:alignment wrapText="1"/>
    </x:xf>
    <x:xf numFmtId="0" fontId="3" fillId="36" borderId="2" xfId="0" applyNumberFormat="1" applyFont="1" applyFill="1" applyBorder="1" applyAlignment="1">
      <x:alignment vertical="center" wrapText="1"/>
    </x:xf>
    <x:xf numFmtId="0" fontId="3" fillId="36" borderId="3" xfId="0" applyNumberFormat="1" applyFont="1" applyFill="1" applyBorder="1" applyAlignment="1">
      <x:alignment vertical="center" wrapText="1"/>
    </x:xf>
    <x:xf numFmtId="0" fontId="3" fillId="36" borderId="4" xfId="0" applyNumberFormat="1" applyFont="1" applyFill="1" applyBorder="1" applyAlignment="1">
      <x:alignment vertical="center" wrapText="1"/>
    </x:xf>
    <x:xf numFmtId="0" fontId="2" fillId="37" borderId="0" xfId="0" applyNumberFormat="1" applyFont="1" applyFill="1" applyBorder="1" applyAlignment="1">
      <x:alignment vertical="center" wrapText="1"/>
    </x:xf>
    <x:xf numFmtId="200" fontId="13" fillId="38" borderId="10" xfId="0" applyNumberFormat="1" applyFont="1" applyFill="1" applyBorder="1" applyAlignment="1">
      <x:alignment wrapText="1"/>
    </x:xf>
    <x:xf numFmtId="200" fontId="13" fillId="38" borderId="13" xfId="0" applyNumberFormat="1" applyFont="1" applyFill="1" applyBorder="1" applyAlignment="1">
      <x:alignment wrapText="1"/>
    </x:xf>
    <x:xf numFmtId="200" fontId="14" fillId="38" borderId="10" xfId="0" applyNumberFormat="1" applyFont="1" applyFill="1" applyBorder="1" applyAlignment="1">
      <x:alignment wrapText="1"/>
    </x:xf>
    <x:xf numFmtId="200" fontId="14" fillId="38" borderId="13" xfId="0" applyNumberFormat="1" applyFont="1" applyFill="1" applyBorder="1" applyAlignment="1">
      <x:alignment wrapText="1"/>
    </x:xf>
    <x:xf numFmtId="0" fontId="0" fillId="39"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vertical="center"/>
    </x:xf>
    <x:xf numFmtId="203" fontId="0" fillId="0" borderId="0" xfId="0" applyNumberFormat="1" applyFont="1" applyFill="1" applyBorder="1"/>
    <x:xf numFmtId="203" fontId="0" fillId="40" borderId="0" xfId="0" applyNumberFormat="1" applyFont="1" applyFill="1" applyBorder="1"/>
    <x:xf numFmtId="203" fontId="14" fillId="40" borderId="0" xfId="0" applyNumberFormat="1" applyFont="1" applyFill="1" applyBorder="1"/>
    <x:xf numFmtId="200" fontId="14" fillId="22" borderId="13" xfId="0" applyNumberFormat="1" applyFont="1" applyFill="1" applyBorder="1" applyAlignment="1">
      <x:alignment wrapText="1"/>
    </x:xf>
    <x:xf numFmtId="0" fontId="2" fillId="39"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14" fillId="40" borderId="0" xfId="0" applyNumberFormat="1" applyFont="1" applyFill="1" applyBorder="1" applyAlignment="1">
      <x:alignment wrapText="1"/>
    </x:xf>
    <x:xf numFmtId="203" fontId="13" fillId="8" borderId="3" xfId="0" applyNumberFormat="1" applyFont="1" applyFill="1" applyBorder="1" applyAlignment="1">
      <x:alignment wrapText="1"/>
    </x:xf>
    <x:xf numFmtId="0" fontId="2" fillId="41" borderId="0" xfId="0" applyNumberFormat="1" applyFont="1" applyFill="1" applyBorder="1" applyAlignment="1">
      <x:alignment vertical="center" wrapText="1"/>
    </x:xf>
    <x:xf numFmtId="203" fontId="14" fillId="22" borderId="0" xfId="0" applyNumberFormat="1" applyFont="1" applyFill="1" applyBorder="1" applyAlignment="1">
      <x:alignment wrapText="1"/>
    </x:xf>
    <x:xf numFmtId="203" fontId="14" fillId="42" borderId="0" xfId="0" applyNumberFormat="1" applyFont="1" applyFill="1" applyBorder="1" applyAlignment="1">
      <x:alignment wrapText="1"/>
    </x:xf>
    <x:xf numFmtId="0" fontId="2" fillId="43" borderId="0" xfId="0" applyNumberFormat="1" applyFont="1" applyFill="1" applyBorder="1" applyAlignment="1">
      <x:alignment vertical="center" wrapText="1"/>
    </x:xf>
    <x:xf numFmtId="203" fontId="14" fillId="44" borderId="0" xfId="0" applyNumberFormat="1" applyFont="1" applyFill="1" applyBorder="1" applyAlignment="1">
      <x:alignment wrapText="1"/>
    </x:xf>
    <x:xf numFmtId="164" fontId="0" fillId="0" borderId="0" xfId="0" applyNumberFormat="1" applyFont="1" applyFill="1" applyBorder="1" applyAlignment="1">
      <x:alignment vertical="top" wrapText="1"/>
    </x:xf>
  </x:cellXfs>
  <x:cellStyles count="1">
    <x:cellStyle name="Normal" xfId="0"/>
  </x:cellStyles>
  <x:dxfs count="17">
    <x:dxf>
      <x:font>
        <x:b/>
        <x:color rgb="FF274E13"/>
      </x:font>
      <x:fill>
        <x:patternFill>
          <x:bgColor rgb="FFD9EAD3"/>
        </x:patternFill>
      </x:fill>
    </x:dxf>
    <x:dxf>
      <x:font>
        <x:b/>
        <x:color rgb="FF7F6000"/>
      </x:font>
      <x:fill>
        <x:patternFill>
          <x:bgColor rgb="FFFCE5CD"/>
        </x:patternFill>
      </x:fill>
    </x:dxf>
    <x:dxf>
      <x:fill>
        <x:patternFill>
          <x:bgColor rgb="FFFCE5CD"/>
        </x:patternFill>
      </x:fill>
    </x:dxf>
    <x:dxf>
      <x:font>
        <x:b/>
      </x:font>
      <x:fill>
        <x:patternFill>
          <x:bgColor rgb="FFD9EAD3"/>
        </x:patternFill>
      </x:fill>
    </x:dxf>
    <x:dxf>
      <x:font>
        <x:b/>
      </x:font>
      <x:fill>
        <x:patternFill>
          <x:bgColor rgb="FFF4CCCC"/>
        </x:patternFill>
      </x:fill>
    </x:dxf>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color rgb="FF375623"/>
      </x:font>
      <x:fill>
        <x:patternFill>
          <x:bgColor rgb="FFE2F0D9"/>
        </x:patternFill>
      </x:fill>
    </x:dxf>
    <x:dxf>
      <x:font>
        <x:color rgb="FF1F4E78"/>
      </x:font>
      <x:fill>
        <x:patternFill>
          <x:bgColor rgb="FFD9EAF7"/>
        </x:patternFill>
      </x:fill>
    </x:dxf>
    <x:dxf>
      <x:font>
        <x:color rgb="FF9C0006"/>
      </x:font>
      <x:fill>
        <x:patternFill>
          <x:bgColor rgb="FFFCE4D6"/>
        </x:patternFill>
      </x:fill>
    </x:dxf>
    <x:dxf>
      <x:font>
        <x:color rgb="FF375623"/>
      </x:font>
      <x:fill>
        <x:patternFill>
          <x:bgColor rgb="FFE2F0D9"/>
        </x:patternFill>
      </x:fill>
    </x:dxf>
    <x:dxf>
      <x:font>
        <x:color rgb="FF1F4E78"/>
      </x:font>
      <x:fill>
        <x:patternFill>
          <x:bgColor rgb="FFD9EAF7"/>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d7e131a8c374889" /><Relationship Type="http://schemas.openxmlformats.org/officeDocument/2006/relationships/theme" Target="/xl/theme/theme1.xml" Id="R3f35ceacbac54791" /><Relationship Type="http://schemas.openxmlformats.org/officeDocument/2006/relationships/sharedStrings" Target="/xl/sharedStrings.xml" Id="R8a7b141b69914a6c" /><Relationship Type="http://schemas.openxmlformats.org/officeDocument/2006/relationships/worksheet" Target="/xl/worksheets/sheet1.xml" Id="Re0cde04628134b03" /><Relationship Type="http://schemas.openxmlformats.org/officeDocument/2006/relationships/worksheet" Target="/xl/worksheets/sheet2.xml" Id="R140da18b767c4366" /><Relationship Type="http://schemas.openxmlformats.org/officeDocument/2006/relationships/worksheet" Target="/xl/worksheets/sheet3.xml" Id="R50527aae56844435" /><Relationship Type="http://schemas.openxmlformats.org/officeDocument/2006/relationships/worksheet" Target="/xl/worksheets/sheet4.xml" Id="R6bf577d86c94435a" /><Relationship Type="http://schemas.openxmlformats.org/officeDocument/2006/relationships/worksheet" Target="/xl/worksheets/sheet5.xml" Id="R702626e600374bce" /><Relationship Type="http://schemas.openxmlformats.org/officeDocument/2006/relationships/worksheet" Target="/xl/worksheets/sheet6.xml" Id="Rab872a5d47ee457e" /><Relationship Type="http://schemas.openxmlformats.org/officeDocument/2006/relationships/worksheet" Target="/xl/worksheets/sheet7.xml" Id="Re9139ba429644171" /><Relationship Type="http://schemas.openxmlformats.org/officeDocument/2006/relationships/worksheet" Target="/xl/worksheets/sheet8.xml" Id="Ree903bcbcf5543a4" /><Relationship Type="http://schemas.openxmlformats.org/officeDocument/2006/relationships/worksheet" Target="/xl/worksheets/sheet9.xml" Id="R7e437f2730204ec5" /><Relationship Type="http://schemas.openxmlformats.org/officeDocument/2006/relationships/worksheet" Target="/xl/worksheets/sheet10.xml" Id="R3a5f96ba6e2a4fa0" /><Relationship Type="http://schemas.openxmlformats.org/officeDocument/2006/relationships/worksheet" Target="/xl/worksheets/sheet11.xml" Id="Rc6499a85b19b4b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9ebb4b0e4ec46d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Exercises Logged by Workout</a:t>
            </a:r>
          </a:p>
        </c:rich>
      </c:tx>
      <c:overlay val="0"/>
    </c:title>
    <c:plotArea>
      <c:barChart>
        <c:barDir val="col"/>
        <c:varyColors val="0"/>
        <c:ser>
          <c:idx val="0"/>
          <c:order val="0"/>
          <c:tx>
            <c:v>Exercises</c:v>
          </c:tx>
          <c:cat>
            <c:strRef>
              <c:f>'Dashboard'!$K$2:$K$7</c:f>
              <c:strCache>
                <c:ptCount val="0"/>
              </c:strCache>
            </c:strRef>
          </c:cat>
          <c:val>
            <c:numRef>
              <c:f>'Dashboard'!$L$2:$L$7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26</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9ebb4b0e4ec46d6"/>
        </a:graphicData>
      </a:graphic>
    </xdr:graphicFrame>
    <xdr:clientData/>
  </xdr:twoCellAnchor>
</xdr:wsDr>
</file>

<file path=xl/tables/table1.xml><?xml version="1.0" encoding="utf-8"?>
<x:table xmlns:x="http://schemas.openxmlformats.org/spreadsheetml/2006/main" id="28" name="WorkoutJournalTable" displayName="WorkoutJournalTable" ref="A4:N410" headerRowCount="1" totalsRowCount="0" totalsRowShown="0">
  <x:tableColumns count="14">
    <x:tableColumn id="1" name="Date"/>
    <x:tableColumn id="2" name="Workout"/>
    <x:tableColumn id="3" name="Exercise"/>
    <x:tableColumn id="4" name="Set"/>
    <x:tableColumn id="5" name="Weight"/>
    <x:tableColumn id="6" name="Unit / Load Basis"/>
    <x:tableColumn id="7" name="Reps"/>
    <x:tableColumn id="8" name="Form Note"/>
    <x:tableColumn id="9" name="Pain / Soreness"/>
    <x:tableColumn id="10" name="Energy"/>
    <x:tableColumn id="11" name="Sleep"/>
    <x:tableColumn id="12" name="Coach Note"/>
    <x:tableColumn id="13" name="Set Type"/>
    <x:tableColumn id="14" name="RIR"/>
  </x:tableColumns>
  <x:tableStyleInfo name="TableStyleMedium2" showFirstColumn="0" showLastColumn="0" showRowStripes="1" showColumnStripes="0"/>
</x:table>
</file>

<file path=xl/tables/table2.xml><?xml version="1.0" encoding="utf-8"?>
<x:table xmlns:x="http://schemas.openxmlformats.org/spreadsheetml/2006/main" id="31" name="ExerciseTargetsTable" displayName="ExerciseTargetsTable" ref="A4:I50" headerRowCount="1" totalsRowCount="0" totalsRowShown="0">
  <x:tableColumns count="9">
    <x:tableColumn id="1" name="Muscle"/>
    <x:tableColumn id="2" name="Exercise"/>
    <x:tableColumn id="3" name="Current Best Set"/>
    <x:tableColumn id="4" name="Current Working Zone"/>
    <x:tableColumn id="5" name="Next Target"/>
    <x:tableColumn id="6" name="Progress Rule"/>
    <x:tableColumn id="7" name="Technique Focus"/>
    <x:tableColumn id="8" name="Status"/>
    <x:tableColumn id="9" name="Notes"/>
  </x:tableColumns>
  <x:tableStyleInfo name="TableStyleMedium2" showFirstColumn="0" showLastColumn="0" showRowStripes="1" showColumnStripes="0"/>
</x:table>
</file>

<file path=xl/tables/table3.xml><?xml version="1.0" encoding="utf-8"?>
<x:table xmlns:x="http://schemas.openxmlformats.org/spreadsheetml/2006/main" id="33" name="RecoveryTable" displayName="RecoveryTable" ref="A4:J26" headerRowCount="1" totalsRowCount="0" totalsRowShown="0">
  <x:tableColumns count="10">
    <x:tableColumn id="1" name="Date"/>
    <x:tableColumn id="2" name="Weight (kg)"/>
    <x:tableColumn id="3" name="Waist (cm)"/>
    <x:tableColumn id="4" name="Sleep"/>
    <x:tableColumn id="5" name="Energy"/>
    <x:tableColumn id="6" name="Soreness / Pain"/>
    <x:tableColumn id="7" name="Protein (g)"/>
    <x:tableColumn id="8" name="Water (L)"/>
    <x:tableColumn id="9" name="Steps / Cardio"/>
    <x:tableColumn id="10" name="Notes"/>
  </x:tableColumns>
  <x:tableStyleInfo name="TableStyleMedium2" showFirstColumn="0" showLastColumn="0" showRowStripes="1" showColumnStripes="0"/>
</x:table>
</file>

<file path=xl/tables/table4.xml><?xml version="1.0" encoding="utf-8"?>
<x:table xmlns:x="http://schemas.openxmlformats.org/spreadsheetml/2006/main" id="45" name="ProgramNotesTable" displayName="ProgramNotesTable" ref="A4:D68" headerRowCount="1" totalsRowCount="0" totalsRowShown="0">
  <x:tableColumns count="4">
    <x:tableColumn id="1" name="Category"/>
    <x:tableColumn id="2" name="Rule / Observation"/>
    <x:tableColumn id="3" name="Why It Matters"/>
    <x:tableColumn id="4" name="Action"/>
  </x:tableColumns>
  <x:tableStyleInfo name="TableStyleMedium2" showFirstColumn="0" showLastColumn="0" showRowStripes="1" showColumnStripes="0"/>
</x:table>
</file>

<file path=xl/tables/table5.xml><?xml version="1.0" encoding="utf-8"?>
<x:table xmlns:x="http://schemas.openxmlformats.org/spreadsheetml/2006/main" id="30" name="SessionSummaryTable" displayName="SessionSummaryTable" ref="A4:H24" headerRowCount="1" totalsRowCount="0" totalsRowShown="0">
  <x:tableColumns count="8">
    <x:tableColumn id="1" name="Date"/>
    <x:tableColumn id="2" name="Workout"/>
    <x:tableColumn id="3" name="Exercises"/>
    <x:tableColumn id="4" name="Set Entries"/>
    <x:tableColumn id="5" name="Readiness"/>
    <x:tableColumn id="6" name="Recovery Notes"/>
    <x:tableColumn id="7" name="Coach Assessment"/>
    <x:tableColumn id="8" name="Next-Session Status"/>
  </x:tableColumns>
  <x:tableStyleInfo name="TableStyleMedium2" showFirstColumn="0" showLastColumn="0" showRowStripes="1" showColumnStripes="0"/>
</x:table>
</file>

<file path=xl/tables/table6.xml><?xml version="1.0" encoding="utf-8"?>
<x:table xmlns:x="http://schemas.openxmlformats.org/spreadsheetml/2006/main" id="14" name="CoachingProfileTable" displayName="CoachingProfileTable" ref="A4:E31" headerRowCount="1" totalsRowCount="0" totalsRowShown="0">
  <x:tableColumns count="5">
    <x:tableColumn id="1" name="Category"/>
    <x:tableColumn id="2" name="Item"/>
    <x:tableColumn id="3" name="Current Value"/>
    <x:tableColumn id="4" name="Status"/>
    <x:tableColumn id="5" name="Why Needed / Next Check"/>
  </x:tableColumns>
  <x:tableStyleInfo name="TableStyleMedium2" showFirstColumn="0" showLastColumn="0" showRowStripes="1" showColumnStripes="0"/>
</x:table>
</file>

<file path=xl/tables/table7.xml><?xml version="1.0" encoding="utf-8"?>
<x:table xmlns:x="http://schemas.openxmlformats.org/spreadsheetml/2006/main" id="15" name="MealPlanTable" displayName="MealPlanTable" ref="A15:H23" headerRowCount="1" totalsRowCount="0" totalsRowShown="0">
  <x:tableColumns count="8">
    <x:tableColumn id="1" name="Meal"/>
    <x:tableColumn id="2" name="Typical Time"/>
    <x:tableColumn id="3" name="Foods / Portions"/>
    <x:tableColumn id="4" name="Explicit Protein (g)"/>
    <x:tableColumn id="5" name="Calories"/>
    <x:tableColumn id="6" name="Status"/>
    <x:tableColumn id="7" name="To Verify"/>
    <x:tableColumn id="8" name="Coach Notes"/>
  </x:tableColumns>
  <x:tableStyleInfo name="TableStyleMedium2" showFirstColumn="0" showLastColumn="0" showRowStripes="1" showColumnStripes="0"/>
</x:table>
</file>

<file path=xl/tables/table8.xml><?xml version="1.0" encoding="utf-8"?>
<x:table xmlns:x="http://schemas.openxmlformats.org/spreadsheetml/2006/main" id="16" name="NutritionLogTable" displayName="NutritionLogTable" ref="A28:H29" headerRowCount="1" totalsRowCount="0" totalsRowShown="0">
  <x:tableColumns count="8">
    <x:tableColumn id="1" name="Date"/>
    <x:tableColumn id="2" name="Protein (g)"/>
    <x:tableColumn id="3" name="Calories"/>
    <x:tableColumn id="4" name="Water (L)"/>
    <x:tableColumn id="5" name="Steps"/>
    <x:tableColumn id="6" name="Cardio"/>
    <x:tableColumn id="7" name="Plan Adherence"/>
    <x:tableColumn id="8" name="Notes"/>
  </x:tableColumns>
  <x:tableStyleInfo name="TableStyleMedium2" showFirstColumn="0" showLastColumn="0" showRowStripes="1" showColumnStripes="0"/>
</x:table>
</file>

<file path=xl/tables/table9.xml><?xml version="1.0" encoding="utf-8"?>
<x:table xmlns:x="http://schemas.openxmlformats.org/spreadsheetml/2006/main" id="18" name="SupplementLabelTable" displayName="SupplementLabelTable" ref="A32:D39" headerRowCount="1" totalsRowCount="0" totalsRowShown="0">
  <x:tableColumns count="4">
    <x:tableColumn id="1" name="Product"/>
    <x:tableColumn id="2" name="Label Field"/>
    <x:tableColumn id="3" name="Verified Value"/>
    <x:tableColumn id="4" name="Evidence / Status"/>
  </x:tableColumns>
  <x:tableStyleInfo name="TableStyleMedium2" showFirstColumn="0" showLastColumn="0" showRowStripes="1" showColumnStripes="0"/>
</x:table>
</file>

<file path=xl/tables/table10.xml><?xml version="1.0" encoding="utf-8"?>
<x:table xmlns:x="http://schemas.openxmlformats.org/spreadsheetml/2006/main" id="44" name="FoodLabelTable" displayName="FoodLabelTable" ref="A42:D49" headerRowCount="1" totalsRowCount="0" totalsRowShown="0">
  <x:tableColumns count="4">
    <x:tableColumn id="1" name="Product"/>
    <x:tableColumn id="2" name="Label / portion field"/>
    <x:tableColumn id="3" name="Verified value"/>
    <x:tableColumn id="4" name="Evidence / status"/>
  </x:tableColumns>
  <x:tableStyleInfo name="TableStyleMedium2" showFirstColumn="0" showLastColumn="0" showRowStripes="1" showColumnStripes="0"/>
</x:table>
</file>

<file path=xl/tables/table11.xml><?xml version="1.0" encoding="utf-8"?>
<x:table xmlns:x="http://schemas.openxmlformats.org/spreadsheetml/2006/main" id="34" name="PhotoMeasurementTable" displayName="PhotoMeasurementTable" ref="A4:K8" headerRowCount="1" totalsRowCount="0" totalsRowShown="0">
  <x:tableColumns count="11">
    <x:tableColumn id="1" name="Date"/>
    <x:tableColumn id="2" name="Weight (kg)"/>
    <x:tableColumn id="3" name="Waist (cm)"/>
    <x:tableColumn id="4" name="Chest (cm)"/>
    <x:tableColumn id="5" name="Arm (cm)"/>
    <x:tableColumn id="6" name="Thigh (cm)"/>
    <x:tableColumn id="7" name="Front Photo"/>
    <x:tableColumn id="8" name="Side Photo"/>
    <x:tableColumn id="9" name="Back Photo"/>
    <x:tableColumn id="10" name="Conditions / Notes"/>
    <x:tableColumn id="11" name="Status"/>
  </x:tableColumns>
  <x:tableStyleInfo name="TableStyleMedium2" showFirstColumn="0" showLastColumn="0" showRowStripes="1" showColumnStripes="0"/>
</x:table>
</file>

<file path=xl/tables/table12.xml><?xml version="1.0" encoding="utf-8"?>
<x:table xmlns:x="http://schemas.openxmlformats.org/spreadsheetml/2006/main" id="38" name="ProteinCalculatorTable" displayName="ProteinCalculatorTable" ref="A5:I19" headerRowCount="1" totalsRowCount="0" totalsRowShown="0">
  <x:tableColumns count="9">
    <x:tableColumn id="1" name="Meal"/>
    <x:tableColumn id="2" name="Food"/>
    <x:tableColumn id="3" name="Quantity"/>
    <x:tableColumn id="4" name="Unit"/>
    <x:tableColumn id="5" name="Protein basis (g)"/>
    <x:tableColumn id="6" name="Basis quantity"/>
    <x:tableColumn id="7" name="Calculated protein (g)"/>
    <x:tableColumn id="8" name="Status"/>
    <x:tableColumn id="9" name="Evidence / missing inp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7dcc2d5c7984048" /></Relationships>
</file>

<file path=xl/worksheets/_rels/sheet3.xml.rels>&#65279;<?xml version="1.0" encoding="utf-8"?><Relationships xmlns="http://schemas.openxmlformats.org/package/2006/relationships"><Relationship Type="http://schemas.openxmlformats.org/officeDocument/2006/relationships/table" Target="/xl/tables/table1.xml" Id="Rdce32aa422314668" /></Relationships>
</file>

<file path=xl/worksheets/_rels/sheet4.xml.rels>&#65279;<?xml version="1.0" encoding="utf-8"?><Relationships xmlns="http://schemas.openxmlformats.org/package/2006/relationships"><Relationship Type="http://schemas.openxmlformats.org/officeDocument/2006/relationships/table" Target="/xl/tables/table2.xml" Id="R1082d0a745844226" /></Relationships>
</file>

<file path=xl/worksheets/_rels/sheet5.xml.rels>&#65279;<?xml version="1.0" encoding="utf-8"?><Relationships xmlns="http://schemas.openxmlformats.org/package/2006/relationships"><Relationship Type="http://schemas.openxmlformats.org/officeDocument/2006/relationships/table" Target="/xl/tables/table3.xml" Id="R7b0533ba26e4437b" /></Relationships>
</file>

<file path=xl/worksheets/_rels/sheet6.xml.rels>&#65279;<?xml version="1.0" encoding="utf-8"?><Relationships xmlns="http://schemas.openxmlformats.org/package/2006/relationships"><Relationship Type="http://schemas.openxmlformats.org/officeDocument/2006/relationships/table" Target="/xl/tables/table4.xml" Id="Rf44478e3a9de4d50" /></Relationships>
</file>

<file path=xl/worksheets/_rels/sheet7.xml.rels>&#65279;<?xml version="1.0" encoding="utf-8"?><Relationships xmlns="http://schemas.openxmlformats.org/package/2006/relationships"><Relationship Type="http://schemas.openxmlformats.org/officeDocument/2006/relationships/table" Target="/xl/tables/table5.xml" Id="R763c8925571846f9" /></Relationships>
</file>

<file path=xl/worksheets/_rels/sheet8.xml.rels>&#65279;<?xml version="1.0" encoding="utf-8"?><Relationships xmlns="http://schemas.openxmlformats.org/package/2006/relationships"><Relationship Type="http://schemas.openxmlformats.org/officeDocument/2006/relationships/table" Target="/xl/tables/table6.xml" Id="R58fd9f2406014922" /></Relationships>
</file>

<file path=xl/worksheets/_rels/sheet9.xml.rels>&#65279;<?xml version="1.0" encoding="utf-8"?><Relationships xmlns="http://schemas.openxmlformats.org/package/2006/relationships"><Relationship Type="http://schemas.openxmlformats.org/officeDocument/2006/relationships/table" Target="/xl/tables/table7.xml" Id="R8e5ccbce0a2e48de" /><Relationship Type="http://schemas.openxmlformats.org/officeDocument/2006/relationships/table" Target="/xl/tables/table8.xml" Id="Rf164dd7f2fc64593" /><Relationship Type="http://schemas.openxmlformats.org/officeDocument/2006/relationships/table" Target="/xl/tables/table9.xml" Id="Rc83f777712a041ac" /><Relationship Type="http://schemas.openxmlformats.org/officeDocument/2006/relationships/table" Target="/xl/tables/table10.xml" Id="Re35b06aa6fc14d2a" /></Relationships>
</file>

<file path=xl/worksheets/_rels/sheet10.xml.rels>&#65279;<?xml version="1.0" encoding="utf-8"?><Relationships xmlns="http://schemas.openxmlformats.org/package/2006/relationships"><Relationship Type="http://schemas.openxmlformats.org/officeDocument/2006/relationships/table" Target="/xl/tables/table11.xml" Id="R61a87173320a4051" /></Relationships>
</file>

<file path=xl/worksheets/_rels/sheet11.xml.rels>&#65279;<?xml version="1.0" encoding="utf-8"?><Relationships xmlns="http://schemas.openxmlformats.org/package/2006/relationships"><Relationship Type="http://schemas.openxmlformats.org/officeDocument/2006/relationships/table" Target="/xl/tables/table12.xml" Id="Re2b7228f2ed44653" /></Relationships>
</file>

<file path=xl/worksheets/sheet1.xml><?xml version="1.0" encoding="utf-8"?>
<x:worksheet xmlns:x="http://schemas.openxmlformats.org/spreadsheetml/2006/main">
  <x:sheetFormatPr baseColWidth="8" defaultRowHeight="15"/>
  <x:cols>
    <x:col min="1" max="1" width="28" customWidth="1"/>
    <x:col min="2" max="2" width="15" customWidth="1"/>
    <x:col min="3" max="3" width="15" customWidth="1"/>
    <x:col min="4" max="4" width="15" customWidth="1"/>
    <x:col min="5" max="5" width="15" customWidth="1"/>
    <x:col min="6" max="6" width="15" customWidth="1"/>
    <x:col min="7" max="7" width="15" customWidth="1"/>
    <x:col min="8" max="8" width="15" customWidth="1"/>
  </x:cols>
  <x:sheetData>
    <x:row r="1">
      <x:c r="A1" s="88" t="inlineStr">
        <x:is>
          <x:t xml:space="preserve">Vipin Gym Tracker — Portable Coaching Files</x:t>
        </x:is>
      </x:c>
      <x:c r="B1" s="53" t="n"/>
      <x:c r="C1" s="53" t="n"/>
      <x:c r="D1" s="53" t="n"/>
      <x:c r="E1" s="53" t="n"/>
      <x:c r="F1" s="53" t="n"/>
      <x:c r="G1" s="53" t="n"/>
      <x:c r="H1" s="53" t="n"/>
    </x:row>
    <x:row r="2">
      <x:c r="A2" s="53" t="n"/>
      <x:c r="B2" s="53" t="n"/>
      <x:c r="C2" s="53" t="n"/>
      <x:c r="D2" s="53" t="n"/>
      <x:c r="E2" s="53" t="n"/>
      <x:c r="F2" s="53" t="n"/>
      <x:c r="G2" s="53" t="n"/>
      <x:c r="H2" s="53" t="n"/>
    </x:row>
    <x:row r="3">
      <x:c r="A3" s="50" t="n"/>
      <x:c r="B3" s="50" t="n"/>
      <x:c r="C3" s="50" t="n"/>
      <x:c r="D3" s="50" t="n"/>
      <x:c r="E3" s="50" t="n"/>
      <x:c r="F3" s="50" t="n"/>
      <x:c r="G3" s="50" t="n"/>
      <x:c r="H3" s="50" t="n"/>
    </x:row>
    <x:row r="4" ht="15" hidden="0" customHeight="1">
      <x:c r="A4" s="169" t="str">
        <x:v>Keep this workbook together with Vipin_Gym_Codex_Context_2026-08-07.md.</x:v>
      </x:c>
      <x:c r="B4" s="169"/>
      <x:c r="C4" s="169"/>
      <x:c r="D4" s="169"/>
      <x:c r="E4" s="169"/>
      <x:c r="F4" s="169"/>
      <x:c r="G4" s="169"/>
      <x:c r="H4" s="169"/>
    </x:row>
    <x:row r="5" ht="15" hidden="0" customHeight="1">
      <x:c r="A5" s="169" t="str">
        <x:v>Before workout: record sleep, energy, soreness/pain, weakness, and movement restriction.</x:v>
      </x:c>
      <x:c r="B5" s="169"/>
      <x:c r="C5" s="169"/>
      <x:c r="D5" s="169"/>
      <x:c r="E5" s="169"/>
      <x:c r="F5" s="169"/>
      <x:c r="G5" s="169"/>
      <x:c r="H5" s="169"/>
    </x:row>
    <x:row r="6" ht="15" hidden="0" customHeight="1">
      <x:c r="A6" s="169" t="str">
        <x:v>During workout: record every set, weight basis, reps, form/assistance, Set Type, and RIR.</x:v>
      </x:c>
      <x:c r="B6" s="169"/>
      <x:c r="C6" s="169"/>
      <x:c r="D6" s="169"/>
      <x:c r="E6" s="169"/>
      <x:c r="F6" s="169"/>
      <x:c r="G6" s="169"/>
      <x:c r="H6" s="169"/>
    </x:row>
    <x:row r="7" ht="15" hidden="0" customHeight="1">
      <x:c r="A7" s="169" t="str">
        <x:v>After workout: update Session Summary, Exercise Targets, recovery, and coaching notes.</x:v>
      </x:c>
      <x:c r="B7" s="169"/>
      <x:c r="C7" s="169"/>
      <x:c r="D7" s="169"/>
      <x:c r="E7" s="169"/>
      <x:c r="F7" s="169"/>
      <x:c r="G7" s="169"/>
      <x:c r="H7" s="169"/>
    </x:row>
    <x:row r="8" ht="15" hidden="0" customHeight="1">
      <x:c r="A8" s="169" t="str">
        <x:v>Weekly: review average morning weight, Sunday waist, steps/cardio, protein adherence, and performance.</x:v>
      </x:c>
      <x:c r="B8" s="169"/>
      <x:c r="C8" s="169"/>
      <x:c r="D8" s="169"/>
      <x:c r="E8" s="169"/>
      <x:c r="F8" s="169"/>
      <x:c r="G8" s="169"/>
      <x:c r="H8" s="169"/>
    </x:row>
    <x:row r="9" ht="15" hidden="0" customHeight="1">
      <x:c r="A9" s="169" t="str">
        <x:v>Every ~4 weeks: add standardized front, side, and back progress-photo references.</x:v>
      </x:c>
      <x:c r="B9" s="169"/>
      <x:c r="C9" s="169"/>
      <x:c r="D9" s="169"/>
      <x:c r="E9" s="169"/>
      <x:c r="F9" s="169"/>
      <x:c r="G9" s="169"/>
      <x:c r="H9" s="169"/>
    </x:row>
    <x:row r="10" ht="15" hidden="0" customHeight="1">
      <x:c r="A10" s="170" t="str">
        <x:v>Never silently replace uncertain numbers; mark them To verify or Not recorded.</x:v>
      </x:c>
      <x:c r="B10" s="170"/>
      <x:c r="C10" s="170"/>
      <x:c r="D10" s="170"/>
      <x:c r="E10" s="170"/>
      <x:c r="F10" s="170"/>
      <x:c r="G10" s="170"/>
      <x:c r="H10" s="170"/>
    </x:row>
    <x:row r="11" ht="15" hidden="0" customHeight="1">
      <x:c r="A11" s="170" t="str">
        <x:v>The Dashboard is driven by Session Summary; do not manually type KPI totals.</x:v>
      </x:c>
      <x:c r="B11" s="170"/>
      <x:c r="C11" s="170"/>
      <x:c r="D11" s="170"/>
      <x:c r="E11" s="170"/>
      <x:c r="F11" s="170"/>
      <x:c r="G11" s="170"/>
      <x:c r="H11" s="170"/>
    </x:row>
    <x:row r="12" ht="15" hidden="0" customHeight="1">
      <x:c r="A12" s="170" t="str">
        <x:v>Nutrition targets remain provisional until health, diet pattern, schedule, and intake are verified.</x:v>
      </x:c>
      <x:c r="B12" s="170"/>
      <x:c r="C12" s="170"/>
      <x:c r="D12" s="170"/>
      <x:c r="E12" s="170"/>
      <x:c r="F12" s="170"/>
      <x:c r="G12" s="170"/>
      <x:c r="H12" s="170"/>
    </x:row>
    <x:row r="13" ht="15" hidden="0" customHeight="1">
      <x:c r="A13" s="170" t="str">
        <x:v>Create dated backups periodically; local files are the durable source of truth.</x:v>
      </x:c>
      <x:c r="B13" s="170"/>
      <x:c r="C13" s="170"/>
      <x:c r="D13" s="170"/>
      <x:c r="E13" s="170"/>
      <x:c r="F13" s="170"/>
      <x:c r="G13" s="170"/>
      <x:c r="H13" s="170"/>
    </x:row>
    <x:row r="14" ht="15" hidden="0" customHeight="1">
      <x:c r="A14" s="170" t="str">
        <x:v>New sheets: Session Summary, Coaching Profile, Nutrition Plan, Photos &amp; Measurements, Protein Calculator.</x:v>
      </x:c>
      <x:c r="B14" s="170"/>
      <x:c r="C14" s="170"/>
      <x:c r="D14" s="170"/>
      <x:c r="E14" s="170"/>
      <x:c r="F14" s="170"/>
      <x:c r="G14" s="170"/>
      <x:c r="H14" s="170"/>
    </x:row>
  </x:sheetData>
  <x:mergeCells>
    <x:mergeCell ref="A9:H9"/>
    <x:mergeCell ref="A4:H4"/>
    <x:mergeCell ref="A7:H7"/>
    <x:mergeCell ref="A5:H5"/>
    <x:mergeCell ref="A1:H2"/>
    <x:mergeCell ref="A8:H8"/>
    <x:mergeCell ref="A6:H6"/>
    <x:mergeCell ref="A10:H10"/>
    <x:mergeCell ref="A11:H11"/>
    <x:mergeCell ref="A12:H12"/>
    <x:mergeCell ref="A13:H13"/>
    <x:mergeCell ref="A14:H14"/>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36" customWidth="1"/>
    <x:col min="3" max="3" width="16" customWidth="1"/>
    <x:col min="4" max="4" width="16" customWidth="1"/>
    <x:col min="5" max="5" width="18" customWidth="1"/>
    <x:col min="6" max="6" width="18" customWidth="1"/>
    <x:col min="7" max="7" width="18" customWidth="1"/>
    <x:col min="8" max="8" width="18" customWidth="1"/>
    <x:col min="9" max="9" width="18" customWidth="1"/>
    <x:col min="10" max="10" width="16" customWidth="1"/>
  </x:cols>
  <x:sheetData>
    <x:row r="1" ht="28" customHeight="1">
      <x:c r="A1" s="89" t="inlineStr">
        <x:is>
          <x:t xml:space="preserve">Vipin's Gym Progress Dashboard</x:t>
        </x:is>
      </x:c>
      <x:c r="B1" s="53" t="n"/>
      <x:c r="C1" s="53" t="n"/>
      <x:c r="D1" s="53" t="n"/>
      <x:c r="E1" s="53" t="n"/>
      <x:c r="F1" s="53" t="n"/>
      <x:c r="G1" s="53" t="n"/>
      <x:c r="H1" s="53" t="n"/>
      <x:c r="I1" s="53" t="n"/>
      <x:c r="J1" s="53" t="n"/>
      <x:c r="K1" s="124" t="str">
        <x:v>Workout</x:v>
      </x:c>
      <x:c r="L1" s="126" t="str">
        <x:v>Exercises</x:v>
      </x:c>
    </x:row>
    <x:row r="2" ht="28" customHeight="1">
      <x:c r="A2" s="53" t="n"/>
      <x:c r="B2" s="53" t="n"/>
      <x:c r="C2" s="53" t="n"/>
      <x:c r="D2" s="53" t="n"/>
      <x:c r="E2" s="53" t="n"/>
      <x:c r="F2" s="53" t="n"/>
      <x:c r="G2" s="53" t="n"/>
      <x:c r="H2" s="53" t="n"/>
      <x:c r="I2" s="53" t="n"/>
      <x:c r="J2" s="53" t="n"/>
      <x:c r="K2" s="129" t="str">
        <x:v>Back</x:v>
      </x:c>
      <x:c r="L2" s="134" t="n">
        <x:f>SUMIF('Session Summary'!$B$5:$B$200,K2,'Session Summary'!$C$5:$C$200)</x:f>
        <x:v>18</x:v>
      </x:c>
    </x:row>
    <x:row r="3">
      <x:c r="A3" s="59" t="n"/>
      <x:c r="B3" s="59" t="n"/>
      <x:c r="C3" s="59" t="n"/>
      <x:c r="D3" s="59" t="n"/>
      <x:c r="E3" s="59" t="n"/>
      <x:c r="F3" s="59" t="n"/>
      <x:c r="G3" s="59" t="n"/>
      <x:c r="H3" s="59" t="n"/>
      <x:c r="I3" s="59" t="n"/>
      <x:c r="J3" s="59" t="n"/>
      <x:c r="K3" s="135" t="str">
        <x:v>Chest</x:v>
      </x:c>
      <x:c r="L3" s="140" t="n">
        <x:f>SUMIF('Session Summary'!$B$5:$B$200,K3,'Session Summary'!$C$5:$C$200)</x:f>
        <x:v>18</x:v>
      </x:c>
    </x:row>
    <x:row r="4">
      <x:c r="A4" s="90" t="inlineStr">
        <x:is>
          <x:t xml:space="preserve">Current Profile</x:t>
        </x:is>
      </x:c>
      <x:c r="B4" s="53" t="n"/>
      <x:c r="C4" s="59" t="n"/>
      <x:c r="D4" s="91" t="inlineStr">
        <x:is>
          <x:t xml:space="preserve">Logged Workouts</x:t>
        </x:is>
      </x:c>
      <x:c r="E4" s="53" t="n"/>
      <x:c r="F4" s="91" t="inlineStr">
        <x:is>
          <x:t xml:space="preserve">Exercises Logged</x:t>
        </x:is>
      </x:c>
      <x:c r="G4" s="53" t="n"/>
      <x:c r="H4" s="91" t="inlineStr">
        <x:is>
          <x:t xml:space="preserve">Current Split</x:t>
        </x:is>
      </x:c>
      <x:c r="I4" s="53" t="n"/>
      <x:c r="J4" s="59" t="n"/>
      <x:c r="K4" s="135" t="str">
        <x:v>Biceps</x:v>
      </x:c>
      <x:c r="L4" s="140" t="n">
        <x:v>18</x:v>
      </x:c>
    </x:row>
    <x:row r="5">
      <x:c r="A5" s="92" t="inlineStr">
        <x:is>
          <x:t xml:space="preserve">Height</x:t>
        </x:is>
      </x:c>
      <x:c r="B5" s="59" t="inlineStr">
        <x:is>
          <x:t xml:space="preserve">5'10"</x:t>
        </x:is>
      </x:c>
      <x:c r="C5" s="59" t="n"/>
      <x:c r="D5" s="93" t="n">
        <x:v>20</x:v>
      </x:c>
      <x:c r="E5" s="53" t="n"/>
      <x:c r="F5" s="93" t="n">
        <x:v>56</x:v>
      </x:c>
      <x:c r="G5" s="53" t="n"/>
      <x:c r="H5" s="93" t="str">
        <x:v>4-day temporary</x:v>
      </x:c>
      <x:c r="I5" s="53" t="n"/>
      <x:c r="J5" s="59" t="n"/>
      <x:c r="K5" s="135" t="str">
        <x:v>Legs</x:v>
      </x:c>
      <x:c r="L5" s="140" t="n">
        <x:v>32</x:v>
      </x:c>
    </x:row>
    <x:row r="6">
      <x:c r="A6" s="92" t="inlineStr">
        <x:is>
          <x:t xml:space="preserve">Current Weight</x:t>
        </x:is>
      </x:c>
      <x:c r="B6" s="59" t="str">
        <x:v>87.7 kg (2026-08-23)</x:v>
      </x:c>
      <x:c r="C6" s="59" t="n"/>
      <x:c r="D6" s="53" t="n"/>
      <x:c r="E6" s="53" t="n"/>
      <x:c r="F6" s="53" t="n"/>
      <x:c r="G6" s="53" t="n"/>
      <x:c r="H6" s="53" t="n"/>
      <x:c r="I6" s="53" t="n"/>
      <x:c r="J6" s="59" t="n"/>
      <x:c r="K6" s="135" t="str">
        <x:v>Shoulders</x:v>
      </x:c>
      <x:c r="L6" s="140" t="n">
        <x:v>32</x:v>
      </x:c>
    </x:row>
    <x:row r="7">
      <x:c r="A7" s="92" t="inlineStr">
        <x:is>
          <x:t xml:space="preserve">Goal</x:t>
        </x:is>
      </x:c>
      <x:c r="B7" s="59" t="inlineStr">
        <x:is>
          <x:t xml:space="preserve">Lean athletic physique; reduce belly fat; build strength</x:t>
        </x:is>
      </x:c>
      <x:c r="C7" s="59" t="n"/>
      <x:c r="D7" s="59" t="n"/>
      <x:c r="E7" s="59" t="n"/>
      <x:c r="F7" s="59" t="n"/>
      <x:c r="G7" s="59" t="n"/>
      <x:c r="H7" s="59" t="n"/>
      <x:c r="I7" s="59" t="n"/>
      <x:c r="J7" s="59" t="n"/>
      <x:c r="K7" s="141" t="str">
        <x:v>Triceps</x:v>
      </x:c>
      <x:c r="L7" s="146" t="n">
        <x:v>33</x:v>
      </x:c>
    </x:row>
    <x:row r="8">
      <x:c r="A8" s="92" t="inlineStr">
        <x:is>
          <x:t xml:space="preserve">Diet</x:t>
        </x:is>
      </x:c>
      <x:c r="B8" s="59" t="inlineStr">
        <x:is>
          <x:t xml:space="preserve">Vegetarian</x:t>
        </x:is>
      </x:c>
      <x:c r="C8" s="59" t="n"/>
      <x:c r="D8" s="90" t="inlineStr">
        <x:is>
          <x:t xml:space="preserve">Current Coaching Priorities</x:t>
        </x:is>
      </x:c>
      <x:c r="E8" s="53" t="n"/>
      <x:c r="F8" s="53" t="n"/>
      <x:c r="G8" s="53" t="n"/>
      <x:c r="H8" s="53" t="n"/>
      <x:c r="I8" s="53" t="n"/>
      <x:c r="J8" s="59" t="n"/>
      <x:c r="K8" s="59" t="n"/>
      <x:c r="L8" s="59" t="n"/>
    </x:row>
    <x:row r="9">
      <x:c r="A9" s="92" t="inlineStr">
        <x:is>
          <x:t xml:space="preserve">Experience</x:t>
        </x:is>
      </x:c>
      <x:c r="B9" s="59" t="inlineStr">
        <x:is>
          <x:t xml:space="preserve">Returned to regular training; Phase 2 tracking</x:t>
        </x:is>
      </x:c>
      <x:c r="C9" s="59" t="n"/>
      <x:c r="D9" s="94" t="inlineStr">
        <x:is>
          <x:t xml:space="preserve">1</x:t>
        </x:is>
      </x:c>
      <x:c r="E9" s="59" t="inlineStr">
        <x:is>
          <x:t xml:space="preserve">Progress reps before adding weight</x:t>
        </x:is>
      </x:c>
      <x:c r="F9" s="59" t="n"/>
      <x:c r="G9" s="59" t="n"/>
      <x:c r="H9" s="59" t="n"/>
      <x:c r="I9" s="59" t="n"/>
      <x:c r="J9" s="59" t="n"/>
      <x:c r="K9" s="59" t="n"/>
      <x:c r="L9" s="59" t="n"/>
    </x:row>
    <x:row r="10">
      <x:c r="A10" s="59" t="n"/>
      <x:c r="B10" s="59" t="n"/>
      <x:c r="C10" s="59" t="n"/>
      <x:c r="D10" s="94" t="inlineStr">
        <x:is>
          <x:t xml:space="preserve">2</x:t>
        </x:is>
      </x:c>
      <x:c r="E10" s="59" t="inlineStr">
        <x:is>
          <x:t xml:space="preserve">Keep chest to 3 presses maximum</x:t>
        </x:is>
      </x:c>
      <x:c r="F10" s="59" t="n"/>
      <x:c r="G10" s="59" t="n"/>
      <x:c r="H10" s="59" t="n"/>
      <x:c r="I10" s="59" t="n"/>
      <x:c r="J10" s="59" t="n"/>
      <x:c r="K10" s="59" t="n"/>
      <x:c r="L10" s="59" t="n"/>
    </x:row>
    <x:row r="11">
      <x:c r="A11" s="59" t="n"/>
      <x:c r="B11" s="59" t="n"/>
      <x:c r="C11" s="59" t="n"/>
      <x:c r="D11" s="94" t="inlineStr">
        <x:is>
          <x:t xml:space="preserve">3</x:t>
        </x:is>
      </x:c>
      <x:c r="E11" s="59" t="inlineStr">
        <x:is>
          <x:t xml:space="preserve">Use chest-supported rows to manage lower-back fatigue</x:t>
        </x:is>
      </x:c>
      <x:c r="F11" s="59" t="n"/>
      <x:c r="G11" s="59" t="n"/>
      <x:c r="H11" s="59" t="n"/>
      <x:c r="I11" s="59" t="n"/>
      <x:c r="J11" s="59" t="n"/>
      <x:c r="K11" s="59" t="n"/>
      <x:c r="L11" s="59" t="n"/>
    </x:row>
    <x:row r="12">
      <x:c r="A12" s="90" t="inlineStr">
        <x:is>
          <x:t xml:space="preserve">Weekly Split</x:t>
        </x:is>
      </x:c>
      <x:c r="B12" s="53" t="n"/>
      <x:c r="C12" s="59" t="n"/>
      <x:c r="D12" s="94" t="inlineStr">
        <x:is>
          <x:t xml:space="preserve">4</x:t>
        </x:is>
      </x:c>
      <x:c r="E12" s="59" t="inlineStr">
        <x:is>
          <x:t xml:space="preserve">Track recovery and pain before each workout</x:t>
        </x:is>
      </x:c>
      <x:c r="F12" s="59" t="n"/>
      <x:c r="G12" s="59" t="n"/>
      <x:c r="H12" s="59" t="n"/>
      <x:c r="I12" s="59" t="n"/>
      <x:c r="J12" s="59" t="n"/>
      <x:c r="K12" s="59" t="n"/>
      <x:c r="L12" s="59" t="n"/>
    </x:row>
    <x:row r="13">
      <x:c r="A13" s="92" t="str">
        <x:v>Day 1</x:v>
      </x:c>
      <x:c r="B13" s="59" t="str">
        <x:v>Back + Biceps - completed 2026-08-24</x:v>
      </x:c>
      <x:c r="C13" s="59" t="n"/>
      <x:c r="D13" s="94" t="inlineStr">
        <x:is>
          <x:t xml:space="preserve">5</x:t>
        </x:is>
      </x:c>
      <x:c r="E13" s="59" t="inlineStr">
        <x:is>
          <x:t xml:space="preserve">Maintain strict form on isolation exercises</x:t>
        </x:is>
      </x:c>
      <x:c r="F13" s="59" t="n"/>
      <x:c r="G13" s="59" t="n"/>
      <x:c r="H13" s="59" t="n"/>
      <x:c r="I13" s="59" t="n"/>
      <x:c r="J13" s="59" t="n"/>
      <x:c r="K13" s="59" t="n"/>
      <x:c r="L13" s="59" t="n"/>
    </x:row>
    <x:row r="14">
      <x:c r="A14" s="92" t="str">
        <x:v>Day 2</x:v>
      </x:c>
      <x:c r="B14" s="59" t="str">
        <x:v>Chest + Triceps - completed 2026-08-25</x:v>
      </x:c>
      <x:c r="C14" s="59" t="n"/>
      <x:c r="D14" s="59" t="n"/>
      <x:c r="E14" s="59" t="n"/>
      <x:c r="F14" s="59" t="n"/>
      <x:c r="G14" s="59" t="n"/>
      <x:c r="H14" s="59" t="n"/>
      <x:c r="I14" s="59" t="n"/>
      <x:c r="J14" s="59" t="n"/>
      <x:c r="K14" s="59" t="n"/>
      <x:c r="L14" s="59" t="n"/>
    </x:row>
    <x:row r="15">
      <x:c r="A15" s="92" t="str">
        <x:v>Day 3</x:v>
      </x:c>
      <x:c r="B15" s="59" t="str">
        <x:v>Legs - next; fresh readiness required</x:v>
      </x:c>
      <x:c r="C15" s="59" t="n"/>
      <x:c r="D15" s="90" t="inlineStr">
        <x:is>
          <x:t xml:space="preserve">Next Main-Lift Targets</x:t>
        </x:is>
      </x:c>
      <x:c r="E15" s="53" t="n"/>
      <x:c r="F15" s="53" t="n"/>
      <x:c r="G15" s="53" t="n"/>
      <x:c r="H15" s="53" t="n"/>
      <x:c r="I15" s="53" t="n"/>
      <x:c r="J15" s="59" t="n"/>
      <x:c r="K15" s="59" t="n"/>
      <x:c r="L15" s="59" t="n"/>
    </x:row>
    <x:row r="16">
      <x:c r="A16" s="92" t="str">
        <x:v>Day 4</x:v>
      </x:c>
      <x:c r="B16" s="59" t="str">
        <x:v>Shoulders + core / optional arm finishers</x:v>
      </x:c>
      <x:c r="C16" s="59" t="n"/>
      <x:c r="D16" s="94" t="inlineStr">
        <x:is>
          <x:t xml:space="preserve">Muscle</x:t>
        </x:is>
      </x:c>
      <x:c r="E16" s="94" t="inlineStr">
        <x:is>
          <x:t xml:space="preserve">Exercise</x:t>
        </x:is>
      </x:c>
      <x:c r="F16" s="94" t="inlineStr">
        <x:is>
          <x:t xml:space="preserve">Current Best</x:t>
        </x:is>
      </x:c>
      <x:c r="G16" s="94" t="inlineStr">
        <x:is>
          <x:t xml:space="preserve">Next Target</x:t>
        </x:is>
      </x:c>
      <x:c r="H16" s="94" t="inlineStr">
        <x:is>
          <x:t xml:space="preserve">Status</x:t>
        </x:is>
      </x:c>
      <x:c r="I16" s="94" t="inlineStr">
        <x:is>
          <x:t xml:space="preserve">Note</x:t>
        </x:is>
      </x:c>
      <x:c r="J16" s="59" t="n"/>
      <x:c r="K16" s="59" t="n"/>
      <x:c r="L16" s="59" t="n"/>
    </x:row>
    <x:row r="17">
      <x:c r="A17" s="92" t="str">
        <x:v>Other days</x:v>
      </x:c>
      <x:c r="B17" s="59" t="str">
        <x:v>Rest / walking</x:v>
      </x:c>
      <x:c r="C17" s="59" t="n"/>
      <x:c r="D17" s="59" t="str">
        <x:v>Chest</x:v>
      </x:c>
      <x:c r="E17" s="59" t="str">
        <x:v>Flat Bench Press</x:v>
      </x:c>
      <x:c r="F17" s="59" t="str">
        <x:v>22.5 kg/side x 8 @ RIR 0</x:v>
      </x:c>
      <x:c r="G17" s="59" t="str">
        <x:v>22.5 kg/side x 8 @ RIR 1-2</x:v>
      </x:c>
      <x:c r="H17" s="59" t="str">
        <x:v>Modify effort</x:v>
      </x:c>
      <x:c r="I17" s="59" t="str">
        <x:v>No RIR 0; bar excluded</x:v>
      </x:c>
      <x:c r="J17" s="59" t="n"/>
      <x:c r="K17" s="59" t="n"/>
      <x:c r="L17" s="59" t="n"/>
    </x:row>
    <x:row r="18">
      <x:c r="A18" s="92" t="str">
        <x:v>Spacing</x:v>
      </x:c>
      <x:c r="B18" s="59" t="str">
        <x:v>Exact remaining days To verify</x:v>
      </x:c>
      <x:c r="C18" s="59" t="n"/>
      <x:c r="D18" s="59" t="str">
        <x:v>Chest</x:v>
      </x:c>
      <x:c r="E18" s="59" t="str">
        <x:v>Incline Barbell Bench</x:v>
      </x:c>
      <x:c r="F18" s="59" t="str">
        <x:v>15 kg/side x 10 @ RIR 2</x:v>
      </x:c>
      <x:c r="G18" s="59" t="str">
        <x:v>Repeat with RIR 2</x:v>
      </x:c>
      <x:c r="H18" s="59" t="str">
        <x:v>In progress</x:v>
      </x:c>
      <x:c r="I18" s="59" t="str">
        <x:v>Keep load</x:v>
      </x:c>
      <x:c r="J18" s="59" t="n"/>
      <x:c r="K18" s="59" t="n"/>
      <x:c r="L18" s="59" t="n"/>
    </x:row>
    <x:row r="19" ht="30" customHeight="1">
      <x:c r="A19" s="92"/>
      <x:c r="B19" s="59"/>
      <x:c r="C19" s="59" t="n"/>
      <x:c r="D19" s="59" t="str">
        <x:v>Chest</x:v>
      </x:c>
      <x:c r="E19" s="222" t="str">
        <x:v>Plate Chest Press</x:v>
      </x:c>
      <x:c r="F19" s="222" t="str">
        <x:v>50 kg/side x 8 @ RIR 1 unplanned</x:v>
      </x:c>
      <x:c r="G19" s="222" t="str">
        <x:v>45 kg/side x 9-10 @ RIR 2</x:v>
      </x:c>
      <x:c r="H19" s="222" t="str">
        <x:v>Modify load</x:v>
      </x:c>
      <x:c r="I19" s="222" t="str">
        <x:v>No 50 kg yet</x:v>
      </x:c>
      <x:c r="J19" s="59" t="n"/>
      <x:c r="K19" s="59" t="n"/>
      <x:c r="L19" s="59" t="n"/>
    </x:row>
    <x:row r="20" ht="30" customHeight="1">
      <x:c r="A20" s="59" t="n"/>
      <x:c r="B20" s="59" t="n"/>
      <x:c r="C20" s="59" t="n"/>
      <x:c r="D20" s="59" t="str">
        <x:v>Chest</x:v>
      </x:c>
      <x:c r="E20" s="222" t="str">
        <x:v>Pec Deck Fly</x:v>
      </x:c>
      <x:c r="F20" s="222" t="str">
        <x:v>60 kg x 11 @ RIR 1 unplanned</x:v>
      </x:c>
      <x:c r="G20" s="222" t="str">
        <x:v>55 kg x 12 @ RIR 2</x:v>
      </x:c>
      <x:c r="H20" s="222" t="str">
        <x:v>Modify technique</x:v>
      </x:c>
      <x:c r="I20" s="222" t="str">
        <x:v>Monitor biceps pump; no 60 kg</x:v>
      </x:c>
      <x:c r="J20" s="59" t="n"/>
      <x:c r="K20" s="59" t="n"/>
      <x:c r="L20" s="59" t="n"/>
    </x:row>
    <x:row r="21">
      <x:c r="A21" s="59" t="n"/>
      <x:c r="B21" s="59" t="n"/>
      <x:c r="C21" s="59" t="n"/>
      <x:c r="D21" s="59" t="str">
        <x:v>Triceps</x:v>
      </x:c>
      <x:c r="E21" s="59" t="str">
        <x:v>Straight-Bar Pushdown</x:v>
      </x:c>
      <x:c r="F21" s="59" t="str">
        <x:v>60 kg x 9 @ RIR 1</x:v>
      </x:c>
      <x:c r="G21" s="59" t="str">
        <x:v>60 kg x 9 @ RIR 2</x:v>
      </x:c>
      <x:c r="H21" s="59" t="str">
        <x:v>Modify effort</x:v>
      </x:c>
      <x:c r="I21" s="59" t="str">
        <x:v>Exactly 3 working sets</x:v>
      </x:c>
      <x:c r="J21" s="59" t="n"/>
      <x:c r="K21" s="59" t="n"/>
      <x:c r="L21" s="59" t="n"/>
    </x:row>
    <x:row r="22">
      <x:c r="A22" s="59" t="n"/>
      <x:c r="B22" s="59" t="n"/>
      <x:c r="C22" s="59" t="n"/>
      <x:c r="D22" s="59" t="str">
        <x:v>Triceps</x:v>
      </x:c>
      <x:c r="E22" s="59" t="str">
        <x:v>Overhead Rope Extension</x:v>
      </x:c>
      <x:c r="F22" s="59" t="str">
        <x:v>45 kg x 7 @ RIR 1 unplanned</x:v>
      </x:c>
      <x:c r="G22" s="59" t="str">
        <x:v>40 kg x 9-10 @ RIR 2</x:v>
      </x:c>
      <x:c r="H22" s="59" t="str">
        <x:v>Modify load</x:v>
      </x:c>
      <x:c r="I22" s="59" t="str">
        <x:v>No 45 kg</x:v>
      </x:c>
      <x:c r="J22" s="59" t="n"/>
      <x:c r="K22" s="59" t="n"/>
      <x:c r="L22" s="59" t="n"/>
    </x:row>
    <x:row r="23">
      <x:c r="A23" s="50" t="n"/>
      <x:c r="B23" s="50" t="n"/>
      <x:c r="C23" s="50" t="n"/>
      <x:c r="D23" s="50" t="str">
        <x:v>Legs</x:v>
      </x:c>
      <x:c r="E23" s="50" t="str">
        <x:v>Hack Squat</x:v>
      </x:c>
      <x:c r="F23" s="50" t="str">
        <x:v>65 kg/side x 10 @ RIR 2</x:v>
      </x:c>
      <x:c r="G23" s="50" t="str">
        <x:v>Repeat after readiness</x:v>
      </x:c>
      <x:c r="H23" s="50" t="str">
        <x:v>In progress</x:v>
      </x:c>
      <x:c r="I23" s="50" t="str">
        <x:v>Check hip and biceps pump</x:v>
      </x:c>
      <x:c r="J23" s="50" t="n"/>
      <x:c r="K23" s="50" t="n"/>
      <x:c r="L23" s="50" t="n"/>
    </x:row>
    <x:row r="24">
      <x:c r="A24" s="50" t="n"/>
      <x:c r="B24" s="50" t="n"/>
      <x:c r="C24" s="50" t="n"/>
      <x:c r="D24" s="50" t="str">
        <x:v>Legs</x:v>
      </x:c>
      <x:c r="E24" s="50" t="str">
        <x:v>Leg Press</x:v>
      </x:c>
      <x:c r="F24" s="50" t="str">
        <x:v>130 kg x 9 @ RIR 1</x:v>
      </x:c>
      <x:c r="G24" s="50" t="str">
        <x:v>130 kg x 9-10 @ RIR 2</x:v>
      </x:c>
      <x:c r="H24" s="50" t="str">
        <x:v>Modify effort</x:v>
      </x:c>
      <x:c r="I24" s="50" t="str">
        <x:v>No assisted 150 kg</x:v>
      </x:c>
      <x:c r="J24" s="50" t="n"/>
      <x:c r="K24" s="50" t="n"/>
      <x:c r="L24" s="50" t="n"/>
    </x:row>
  </x:sheetData>
  <x:mergeCells>
    <x:mergeCell ref="A4:B4"/>
    <x:mergeCell ref="F4:G4"/>
    <x:mergeCell ref="A1:J2"/>
    <x:mergeCell ref="F5:G6"/>
    <x:mergeCell ref="D5:E6"/>
    <x:mergeCell ref="D4:E4"/>
    <x:mergeCell ref="A12:B12"/>
    <x:mergeCell ref="H4:I4"/>
    <x:mergeCell ref="H5:I6"/>
    <x:mergeCell ref="D8:I8"/>
    <x:mergeCell ref="D15:I15"/>
  </x:mergeCells>
  <x:conditionalFormatting sqref="H17:H22">
    <x:cfRule type="expression" dxfId="0" priority="1">
      <x:formula>H17="Achieved"</x:formula>
    </x:cfRule>
    <x:cfRule type="expression" dxfId="1" priority="2">
      <x:formula>H17="In progress"</x:formula>
    </x:cfRule>
  </x:conditionalFormatting>
  <x:pageMargins left="0.7" right="0.7" top="0.75" bottom="0.75" header="0.3" footer="0.3"/>
  <x:drawing xmlns:r="http://schemas.openxmlformats.org/officeDocument/2006/relationships" r:id="Rb7dcc2d5c7984048"/>
</x:worksheet>
</file>

<file path=xl/worksheets/sheet3.xml><?xml version="1.0" encoding="utf-8"?>
<x:worksheet xmlns:x="http://schemas.openxmlformats.org/spreadsheetml/2006/main">
  <x:sheetFormatPr baseColWidth="8" defaultRowHeight="15"/>
  <x:cols>
    <x:col min="1" max="1" width="12" hidden="0" customWidth="1"/>
    <x:col min="2" max="2" width="12" hidden="0" customWidth="1"/>
    <x:col min="3" max="3" width="27" hidden="0" customWidth="1"/>
    <x:col min="4" max="4" width="9" hidden="0" customWidth="1"/>
    <x:col min="5" max="5" width="9" hidden="0" customWidth="1"/>
    <x:col min="6" max="6" width="27" hidden="0" customWidth="1"/>
    <x:col min="7" max="7" width="8" hidden="0" customWidth="1"/>
    <x:col min="8" max="8" width="26" hidden="0" customWidth="1"/>
    <x:col min="9" max="9" width="26" hidden="0" customWidth="1"/>
    <x:col min="10" max="10" width="11" hidden="0" customWidth="1"/>
    <x:col min="11" max="11" width="11" hidden="0" customWidth="1"/>
    <x:col min="12" max="12" width="33" hidden="0" customWidth="1"/>
    <x:col min="13" max="13" width="15" hidden="0" customWidth="1"/>
    <x:col min="14" max="14" width="15" hidden="0" customWidth="1"/>
  </x:cols>
  <x:sheetData>
    <x:row r="1">
      <x:c r="A1" s="111" t="inlineStr">
        <x:is>
          <x:t xml:space="preserve">Workout Journal</x:t>
        </x:is>
      </x:c>
      <x:c r="B1" s="112" t="n"/>
      <x:c r="C1" s="112" t="n"/>
      <x:c r="D1" s="112" t="n"/>
      <x:c r="E1" s="112" t="n"/>
      <x:c r="F1" s="112" t="n"/>
      <x:c r="G1" s="112" t="n"/>
      <x:c r="H1" s="112" t="n"/>
      <x:c r="I1" s="112" t="n"/>
      <x:c r="J1" s="112" t="n"/>
      <x:c r="K1" s="112" t="n"/>
      <x:c r="L1" s="112" t="n"/>
      <x:c r="M1" s="112"/>
      <x:c r="N1" s="112"/>
    </x:row>
    <x:row r="2">
      <x:c r="A2" s="105" t="n"/>
      <x:c r="B2" s="105" t="n"/>
      <x:c r="C2" s="105" t="n"/>
      <x:c r="D2" s="105" t="n"/>
      <x:c r="E2" s="105" t="n"/>
      <x:c r="F2" s="105" t="n"/>
      <x:c r="G2" s="105" t="n"/>
      <x:c r="H2" s="105" t="n"/>
      <x:c r="I2" s="105" t="n"/>
      <x:c r="J2" s="105" t="n"/>
      <x:c r="K2" s="105" t="n"/>
      <x:c r="L2" s="105" t="n"/>
      <x:c r="M2" s="106"/>
      <x:c r="N2" s="106"/>
    </x:row>
    <x:row r="3">
      <x:c r="A3" s="99" t="str">
        <x:v>Historical Set Type and RIR were not recorded. Do not infer them; capture both fields for future working sets.</x:v>
      </x:c>
      <x:c r="B3" s="99" t="str">
        <x:v>Historical Set Type and RIR were not recorded. Do not infer them; capture both fields for future working sets.</x:v>
      </x:c>
      <x:c r="C3" s="99" t="str">
        <x:v>Historical Set Type and RIR were not recorded. Do not infer them; capture both fields for future working sets.</x:v>
      </x:c>
      <x:c r="D3" s="99" t="str">
        <x:v>Historical Set Type and RIR were not recorded. Do not infer them; capture both fields for future working sets.</x:v>
      </x:c>
      <x:c r="E3" s="99" t="str">
        <x:v>Historical Set Type and RIR were not recorded. Do not infer them; capture both fields for future working sets.</x:v>
      </x:c>
      <x:c r="F3" s="99" t="str">
        <x:v>Historical Set Type and RIR were not recorded. Do not infer them; capture both fields for future working sets.</x:v>
      </x:c>
      <x:c r="G3" s="99" t="str">
        <x:v>Historical Set Type and RIR were not recorded. Do not infer them; capture both fields for future working sets.</x:v>
      </x:c>
      <x:c r="H3" s="99" t="str">
        <x:v>Historical Set Type and RIR were not recorded. Do not infer them; capture both fields for future working sets.</x:v>
      </x:c>
      <x:c r="I3" s="99" t="str">
        <x:v>Historical Set Type and RIR were not recorded. Do not infer them; capture both fields for future working sets.</x:v>
      </x:c>
      <x:c r="J3" s="99" t="str">
        <x:v>Historical Set Type and RIR were not recorded. Do not infer them; capture both fields for future working sets.</x:v>
      </x:c>
      <x:c r="K3" s="99" t="str">
        <x:v>Historical Set Type and RIR were not recorded. Do not infer them; capture both fields for future working sets.</x:v>
      </x:c>
      <x:c r="L3" s="99" t="str">
        <x:v>Historical Set Type and RIR were not recorded. Do not infer them; capture both fields for future working sets.</x:v>
      </x:c>
      <x:c r="M3" s="101" t="str">
        <x:v>Historical Set Type and RIR were not recorded. Do not infer them; capture both fields for future working sets.</x:v>
      </x:c>
      <x:c r="N3" s="101" t="str">
        <x:v>Historical Set Type and RIR were not recorded. Do not infer them; capture both fields for future working sets.</x:v>
      </x:c>
    </x:row>
    <x:row r="4" ht="15" hidden="0" customHeight="1">
      <x:c r="A4" s="219" t="str">
        <x:v>Date</x:v>
      </x:c>
      <x:c r="B4" s="219" t="str">
        <x:v>Workout</x:v>
      </x:c>
      <x:c r="C4" s="219" t="str">
        <x:v>Exercise</x:v>
      </x:c>
      <x:c r="D4" s="219" t="str">
        <x:v>Set</x:v>
      </x:c>
      <x:c r="E4" s="219" t="str">
        <x:v>Weight</x:v>
      </x:c>
      <x:c r="F4" s="219" t="str">
        <x:v>Unit / Load Basis</x:v>
      </x:c>
      <x:c r="G4" s="219" t="str">
        <x:v>Reps</x:v>
      </x:c>
      <x:c r="H4" s="219" t="str">
        <x:v>Form Note</x:v>
      </x:c>
      <x:c r="I4" s="219" t="str">
        <x:v>Pain / Soreness</x:v>
      </x:c>
      <x:c r="J4" s="219" t="str">
        <x:v>Energy</x:v>
      </x:c>
      <x:c r="K4" s="219" t="str">
        <x:v>Sleep</x:v>
      </x:c>
      <x:c r="L4" s="219" t="str">
        <x:v>Coach Note</x:v>
      </x:c>
      <x:c r="M4" s="221" t="str">
        <x:v>Set Type</x:v>
      </x:c>
      <x:c r="N4" s="221" t="str">
        <x:v>RIR</x:v>
      </x:c>
    </x:row>
    <x:row r="5" ht="15" hidden="0" customHeight="1">
      <x:c r="A5" s="220" t="n">
        <x:v>46237</x:v>
      </x:c>
      <x:c r="B5" s="170" t="str">
        <x:v>Back</x:v>
      </x:c>
      <x:c r="C5" s="170" t="str">
        <x:v>Lat Pulldown</x:v>
      </x:c>
      <x:c r="D5" s="170" t="n">
        <x:v>1</x:v>
      </x:c>
      <x:c r="E5" s="170" t="n">
        <x:v>45</x:v>
      </x:c>
      <x:c r="F5" s="170" t="str">
        <x:v>kg; final set includes drop</x:v>
      </x:c>
      <x:c r="G5" s="170" t="n">
        <x:v>15</x:v>
      </x:c>
      <x:c r="H5" s="170"/>
      <x:c r="I5" s="170"/>
      <x:c r="J5" s="170"/>
      <x:c r="K5" s="170"/>
      <x:c r="L5" s="170"/>
      <x:c r="M5" s="170" t="str">
        <x:v>Not recorded</x:v>
      </x:c>
      <x:c r="N5" s="170" t="str">
        <x:v>Not recorded</x:v>
      </x:c>
    </x:row>
    <x:row r="6" ht="15" hidden="0" customHeight="1">
      <x:c r="A6" s="220" t="n">
        <x:v>46237</x:v>
      </x:c>
      <x:c r="B6" s="170" t="str">
        <x:v>Back</x:v>
      </x:c>
      <x:c r="C6" s="170" t="str">
        <x:v>Lat Pulldown</x:v>
      </x:c>
      <x:c r="D6" s="170" t="n">
        <x:v>2</x:v>
      </x:c>
      <x:c r="E6" s="170" t="n">
        <x:v>50</x:v>
      </x:c>
      <x:c r="F6" s="170" t="str">
        <x:v>kg; final set includes drop</x:v>
      </x:c>
      <x:c r="G6" s="170" t="n">
        <x:v>12</x:v>
      </x:c>
      <x:c r="H6" s="170"/>
      <x:c r="I6" s="170"/>
      <x:c r="J6" s="170"/>
      <x:c r="K6" s="170"/>
      <x:c r="L6" s="170"/>
      <x:c r="M6" s="170" t="str">
        <x:v>Not recorded</x:v>
      </x:c>
      <x:c r="N6" s="170" t="str">
        <x:v>Not recorded</x:v>
      </x:c>
    </x:row>
    <x:row r="7" ht="15" hidden="0" customHeight="1">
      <x:c r="A7" s="220" t="n">
        <x:v>46237</x:v>
      </x:c>
      <x:c r="B7" s="170" t="str">
        <x:v>Back</x:v>
      </x:c>
      <x:c r="C7" s="170" t="str">
        <x:v>Lat Pulldown</x:v>
      </x:c>
      <x:c r="D7" s="170" t="n">
        <x:v>3</x:v>
      </x:c>
      <x:c r="E7" s="170" t="n">
        <x:v>55</x:v>
      </x:c>
      <x:c r="F7" s="170" t="str">
        <x:v>kg; final set includes drop</x:v>
      </x:c>
      <x:c r="G7" s="170" t="n">
        <x:v>9</x:v>
      </x:c>
      <x:c r="H7" s="170"/>
      <x:c r="I7" s="170"/>
      <x:c r="J7" s="170"/>
      <x:c r="K7" s="170"/>
      <x:c r="L7" s="170"/>
      <x:c r="M7" s="170" t="str">
        <x:v>Not recorded</x:v>
      </x:c>
      <x:c r="N7" s="170" t="str">
        <x:v>Not recorded</x:v>
      </x:c>
    </x:row>
    <x:row r="8" ht="15" hidden="0" customHeight="1">
      <x:c r="A8" s="220" t="n">
        <x:v>46237</x:v>
      </x:c>
      <x:c r="B8" s="170" t="str">
        <x:v>Back</x:v>
      </x:c>
      <x:c r="C8" s="170" t="str">
        <x:v>Lat Pulldown</x:v>
      </x:c>
      <x:c r="D8" s="170" t="n">
        <x:v>4</x:v>
      </x:c>
      <x:c r="E8" s="170" t="n">
        <x:v>60</x:v>
      </x:c>
      <x:c r="F8" s="170" t="str">
        <x:v>kg; final set includes drop</x:v>
      </x:c>
      <x:c r="G8" s="170" t="n">
        <x:v>6</x:v>
      </x:c>
      <x:c r="H8" s="170"/>
      <x:c r="I8" s="170"/>
      <x:c r="J8" s="170"/>
      <x:c r="K8" s="170"/>
      <x:c r="L8" s="170"/>
      <x:c r="M8" s="170" t="str">
        <x:v>Not recorded</x:v>
      </x:c>
      <x:c r="N8" s="170" t="str">
        <x:v>Not recorded</x:v>
      </x:c>
    </x:row>
    <x:row r="9" ht="15" hidden="0" customHeight="1">
      <x:c r="A9" s="220" t="n">
        <x:v>46237</x:v>
      </x:c>
      <x:c r="B9" s="170" t="str">
        <x:v>Back</x:v>
      </x:c>
      <x:c r="C9" s="170" t="str">
        <x:v>Lat Pulldown</x:v>
      </x:c>
      <x:c r="D9" s="170" t="n">
        <x:v>5</x:v>
      </x:c>
      <x:c r="E9" s="170" t="n">
        <x:v>45</x:v>
      </x:c>
      <x:c r="F9" s="170" t="str">
        <x:v>kg; final set includes drop</x:v>
      </x:c>
      <x:c r="G9" s="170" t="n">
        <x:v>4</x:v>
      </x:c>
      <x:c r="H9" s="170"/>
      <x:c r="I9" s="170"/>
      <x:c r="J9" s="170"/>
      <x:c r="K9" s="170"/>
      <x:c r="L9" s="170" t="str">
        <x:v>Next: 55 kg × 10 clean</x:v>
      </x:c>
      <x:c r="M9" s="170" t="str">
        <x:v>Not recorded</x:v>
      </x:c>
      <x:c r="N9" s="170" t="str">
        <x:v>Not recorded</x:v>
      </x:c>
    </x:row>
    <x:row r="10" ht="15" hidden="0" customHeight="1">
      <x:c r="A10" s="220" t="n">
        <x:v>46237</x:v>
      </x:c>
      <x:c r="B10" s="170" t="str">
        <x:v>Back</x:v>
      </x:c>
      <x:c r="C10" s="170" t="str">
        <x:v>Seated Cable Row</x:v>
      </x:c>
      <x:c r="D10" s="170" t="n">
        <x:v>1</x:v>
      </x:c>
      <x:c r="E10" s="170" t="n">
        <x:v>45</x:v>
      </x:c>
      <x:c r="F10" s="170" t="str">
        <x:v>kg</x:v>
      </x:c>
      <x:c r="G10" s="170" t="n">
        <x:v>15</x:v>
      </x:c>
      <x:c r="H10" s="170"/>
      <x:c r="I10" s="170"/>
      <x:c r="J10" s="170"/>
      <x:c r="K10" s="170"/>
      <x:c r="L10" s="170"/>
      <x:c r="M10" s="170" t="str">
        <x:v>Not recorded</x:v>
      </x:c>
      <x:c r="N10" s="170" t="str">
        <x:v>Not recorded</x:v>
      </x:c>
    </x:row>
    <x:row r="11" ht="15" hidden="0" customHeight="1">
      <x:c r="A11" s="220" t="n">
        <x:v>46237</x:v>
      </x:c>
      <x:c r="B11" s="170" t="str">
        <x:v>Back</x:v>
      </x:c>
      <x:c r="C11" s="170" t="str">
        <x:v>Seated Cable Row</x:v>
      </x:c>
      <x:c r="D11" s="170" t="n">
        <x:v>2</x:v>
      </x:c>
      <x:c r="E11" s="170" t="n">
        <x:v>50</x:v>
      </x:c>
      <x:c r="F11" s="170" t="str">
        <x:v>kg</x:v>
      </x:c>
      <x:c r="G11" s="170" t="n">
        <x:v>12</x:v>
      </x:c>
      <x:c r="H11" s="170"/>
      <x:c r="I11" s="170"/>
      <x:c r="J11" s="170"/>
      <x:c r="K11" s="170"/>
      <x:c r="L11" s="170"/>
      <x:c r="M11" s="170" t="str">
        <x:v>Not recorded</x:v>
      </x:c>
      <x:c r="N11" s="170" t="str">
        <x:v>Not recorded</x:v>
      </x:c>
    </x:row>
    <x:row r="12" ht="15" hidden="0" customHeight="1">
      <x:c r="A12" s="220" t="n">
        <x:v>46237</x:v>
      </x:c>
      <x:c r="B12" s="170" t="str">
        <x:v>Back</x:v>
      </x:c>
      <x:c r="C12" s="170" t="str">
        <x:v>Seated Cable Row</x:v>
      </x:c>
      <x:c r="D12" s="170" t="n">
        <x:v>3</x:v>
      </x:c>
      <x:c r="E12" s="170" t="n">
        <x:v>55</x:v>
      </x:c>
      <x:c r="F12" s="170" t="str">
        <x:v>kg</x:v>
      </x:c>
      <x:c r="G12" s="170" t="n">
        <x:v>10</x:v>
      </x:c>
      <x:c r="H12" s="170"/>
      <x:c r="I12" s="170"/>
      <x:c r="J12" s="170"/>
      <x:c r="K12" s="170"/>
      <x:c r="L12" s="170"/>
      <x:c r="M12" s="170" t="str">
        <x:v>Not recorded</x:v>
      </x:c>
      <x:c r="N12" s="170" t="str">
        <x:v>Not recorded</x:v>
      </x:c>
    </x:row>
    <x:row r="13" ht="15" hidden="0" customHeight="1">
      <x:c r="A13" s="220" t="n">
        <x:v>46237</x:v>
      </x:c>
      <x:c r="B13" s="170" t="str">
        <x:v>Back</x:v>
      </x:c>
      <x:c r="C13" s="170" t="str">
        <x:v>Seated Cable Row</x:v>
      </x:c>
      <x:c r="D13" s="170" t="n">
        <x:v>4</x:v>
      </x:c>
      <x:c r="E13" s="170" t="n">
        <x:v>60</x:v>
      </x:c>
      <x:c r="F13" s="170" t="str">
        <x:v>kg</x:v>
      </x:c>
      <x:c r="G13" s="170" t="n">
        <x:v>8</x:v>
      </x:c>
      <x:c r="H13" s="170"/>
      <x:c r="I13" s="170"/>
      <x:c r="J13" s="170"/>
      <x:c r="K13" s="170"/>
      <x:c r="L13" s="170" t="str">
        <x:v>Next: 60 kg × 9–10</x:v>
      </x:c>
      <x:c r="M13" s="170" t="str">
        <x:v>Not recorded</x:v>
      </x:c>
      <x:c r="N13" s="170" t="str">
        <x:v>Not recorded</x:v>
      </x:c>
    </x:row>
    <x:row r="14" ht="15" hidden="0" customHeight="1">
      <x:c r="A14" s="220" t="n">
        <x:v>46237</x:v>
      </x:c>
      <x:c r="B14" s="170" t="str">
        <x:v>Back</x:v>
      </x:c>
      <x:c r="C14" s="170" t="str">
        <x:v>Chest-Supported Row Machine</x:v>
      </x:c>
      <x:c r="D14" s="170" t="n">
        <x:v>1</x:v>
      </x:c>
      <x:c r="E14" s="170" t="n">
        <x:v>30</x:v>
      </x:c>
      <x:c r="F14" s="170" t="str">
        <x:v>kg plates each side</x:v>
      </x:c>
      <x:c r="G14" s="170" t="n">
        <x:v>16</x:v>
      </x:c>
      <x:c r="H14" s="170"/>
      <x:c r="I14" s="170"/>
      <x:c r="J14" s="170"/>
      <x:c r="K14" s="170"/>
      <x:c r="L14" s="170"/>
      <x:c r="M14" s="170" t="str">
        <x:v>Not recorded</x:v>
      </x:c>
      <x:c r="N14" s="170" t="str">
        <x:v>Not recorded</x:v>
      </x:c>
    </x:row>
    <x:row r="15" ht="15" hidden="0" customHeight="1">
      <x:c r="A15" s="220" t="n">
        <x:v>46237</x:v>
      </x:c>
      <x:c r="B15" s="170" t="str">
        <x:v>Back</x:v>
      </x:c>
      <x:c r="C15" s="170" t="str">
        <x:v>Chest-Supported Row Machine</x:v>
      </x:c>
      <x:c r="D15" s="170" t="n">
        <x:v>2</x:v>
      </x:c>
      <x:c r="E15" s="170" t="n">
        <x:v>40</x:v>
      </x:c>
      <x:c r="F15" s="170" t="str">
        <x:v>kg plates each side</x:v>
      </x:c>
      <x:c r="G15" s="170" t="n">
        <x:v>13</x:v>
      </x:c>
      <x:c r="H15" s="170"/>
      <x:c r="I15" s="170"/>
      <x:c r="J15" s="170"/>
      <x:c r="K15" s="170"/>
      <x:c r="L15" s="170"/>
      <x:c r="M15" s="170" t="str">
        <x:v>Not recorded</x:v>
      </x:c>
      <x:c r="N15" s="170" t="str">
        <x:v>Not recorded</x:v>
      </x:c>
    </x:row>
    <x:row r="16" ht="15" hidden="0" customHeight="1">
      <x:c r="A16" s="220" t="n">
        <x:v>46237</x:v>
      </x:c>
      <x:c r="B16" s="170" t="str">
        <x:v>Back</x:v>
      </x:c>
      <x:c r="C16" s="170" t="str">
        <x:v>Chest-Supported Row Machine</x:v>
      </x:c>
      <x:c r="D16" s="170" t="n">
        <x:v>3</x:v>
      </x:c>
      <x:c r="E16" s="170" t="n">
        <x:v>50</x:v>
      </x:c>
      <x:c r="F16" s="170" t="str">
        <x:v>kg plates each side</x:v>
      </x:c>
      <x:c r="G16" s="170" t="n">
        <x:v>12</x:v>
      </x:c>
      <x:c r="H16" s="170"/>
      <x:c r="I16" s="170"/>
      <x:c r="J16" s="170"/>
      <x:c r="K16" s="170"/>
      <x:c r="L16" s="170"/>
      <x:c r="M16" s="170" t="str">
        <x:v>Not recorded</x:v>
      </x:c>
      <x:c r="N16" s="170" t="str">
        <x:v>Not recorded</x:v>
      </x:c>
    </x:row>
    <x:row r="17" ht="15" hidden="0" customHeight="1">
      <x:c r="A17" s="220" t="n">
        <x:v>46237</x:v>
      </x:c>
      <x:c r="B17" s="170" t="str">
        <x:v>Back</x:v>
      </x:c>
      <x:c r="C17" s="170" t="str">
        <x:v>Chest-Supported Row Machine</x:v>
      </x:c>
      <x:c r="D17" s="170" t="n">
        <x:v>4</x:v>
      </x:c>
      <x:c r="E17" s="170" t="n">
        <x:v>60</x:v>
      </x:c>
      <x:c r="F17" s="170" t="str">
        <x:v>kg plates each side</x:v>
      </x:c>
      <x:c r="G17" s="170" t="n">
        <x:v>11</x:v>
      </x:c>
      <x:c r="H17" s="170"/>
      <x:c r="I17" s="170"/>
      <x:c r="J17" s="170"/>
      <x:c r="K17" s="170"/>
      <x:c r="L17" s="170" t="str">
        <x:v>Next: 60 kg/side × 12</x:v>
      </x:c>
      <x:c r="M17" s="170" t="str">
        <x:v>Not recorded</x:v>
      </x:c>
      <x:c r="N17" s="170" t="str">
        <x:v>Not recorded</x:v>
      </x:c>
    </x:row>
    <x:row r="18" ht="15" hidden="0" customHeight="1">
      <x:c r="A18" s="220" t="n">
        <x:v>46237</x:v>
      </x:c>
      <x:c r="B18" s="170" t="str">
        <x:v>Back</x:v>
      </x:c>
      <x:c r="C18" s="170" t="str">
        <x:v>Straight-Arm Cable Pulldown</x:v>
      </x:c>
      <x:c r="D18" s="170" t="n">
        <x:v>1</x:v>
      </x:c>
      <x:c r="E18" s="170" t="n">
        <x:v>30</x:v>
      </x:c>
      <x:c r="F18" s="170" t="str">
        <x:v>kg</x:v>
      </x:c>
      <x:c r="G18" s="170" t="n">
        <x:v>20</x:v>
      </x:c>
      <x:c r="H18" s="170"/>
      <x:c r="I18" s="170"/>
      <x:c r="J18" s="170"/>
      <x:c r="K18" s="170"/>
      <x:c r="L18" s="170"/>
      <x:c r="M18" s="170" t="str">
        <x:v>Not recorded</x:v>
      </x:c>
      <x:c r="N18" s="170" t="str">
        <x:v>Not recorded</x:v>
      </x:c>
    </x:row>
    <x:row r="19" ht="15" hidden="0" customHeight="1">
      <x:c r="A19" s="220" t="n">
        <x:v>46237</x:v>
      </x:c>
      <x:c r="B19" s="170" t="str">
        <x:v>Back</x:v>
      </x:c>
      <x:c r="C19" s="170" t="str">
        <x:v>Straight-Arm Cable Pulldown</x:v>
      </x:c>
      <x:c r="D19" s="170" t="n">
        <x:v>2</x:v>
      </x:c>
      <x:c r="E19" s="170" t="n">
        <x:v>35</x:v>
      </x:c>
      <x:c r="F19" s="170" t="str">
        <x:v>kg</x:v>
      </x:c>
      <x:c r="G19" s="170" t="n">
        <x:v>15</x:v>
      </x:c>
      <x:c r="H19" s="170"/>
      <x:c r="I19" s="170"/>
      <x:c r="J19" s="170"/>
      <x:c r="K19" s="170"/>
      <x:c r="L19" s="170"/>
      <x:c r="M19" s="170" t="str">
        <x:v>Not recorded</x:v>
      </x:c>
      <x:c r="N19" s="170" t="str">
        <x:v>Not recorded</x:v>
      </x:c>
    </x:row>
    <x:row r="20" ht="15" hidden="0" customHeight="1">
      <x:c r="A20" s="220" t="n">
        <x:v>46237</x:v>
      </x:c>
      <x:c r="B20" s="170" t="str">
        <x:v>Back</x:v>
      </x:c>
      <x:c r="C20" s="170" t="str">
        <x:v>Straight-Arm Cable Pulldown</x:v>
      </x:c>
      <x:c r="D20" s="170" t="n">
        <x:v>3</x:v>
      </x:c>
      <x:c r="E20" s="170" t="n">
        <x:v>40</x:v>
      </x:c>
      <x:c r="F20" s="170" t="str">
        <x:v>kg</x:v>
      </x:c>
      <x:c r="G20" s="170" t="n">
        <x:v>12</x:v>
      </x:c>
      <x:c r="H20" s="170"/>
      <x:c r="I20" s="170"/>
      <x:c r="J20" s="170"/>
      <x:c r="K20" s="170"/>
      <x:c r="L20" s="170"/>
      <x:c r="M20" s="170" t="str">
        <x:v>Not recorded</x:v>
      </x:c>
      <x:c r="N20" s="170" t="str">
        <x:v>Not recorded</x:v>
      </x:c>
    </x:row>
    <x:row r="21" ht="15" hidden="0" customHeight="1">
      <x:c r="A21" s="220" t="n">
        <x:v>46237</x:v>
      </x:c>
      <x:c r="B21" s="170" t="str">
        <x:v>Back</x:v>
      </x:c>
      <x:c r="C21" s="170" t="str">
        <x:v>Straight-Arm Cable Pulldown</x:v>
      </x:c>
      <x:c r="D21" s="170" t="n">
        <x:v>4</x:v>
      </x:c>
      <x:c r="E21" s="170" t="n">
        <x:v>45</x:v>
      </x:c>
      <x:c r="F21" s="170" t="str">
        <x:v>kg</x:v>
      </x:c>
      <x:c r="G21" s="170" t="n">
        <x:v>10</x:v>
      </x:c>
      <x:c r="H21" s="170"/>
      <x:c r="I21" s="170"/>
      <x:c r="J21" s="170"/>
      <x:c r="K21" s="170"/>
      <x:c r="L21" s="170" t="str">
        <x:v>Next: 45 kg × 11–12</x:v>
      </x:c>
      <x:c r="M21" s="170" t="str">
        <x:v>Not recorded</x:v>
      </x:c>
      <x:c r="N21" s="170" t="str">
        <x:v>Not recorded</x:v>
      </x:c>
    </x:row>
    <x:row r="22" ht="15" hidden="0" customHeight="1">
      <x:c r="A22" s="220" t="n">
        <x:v>46237</x:v>
      </x:c>
      <x:c r="B22" s="170" t="str">
        <x:v>Back</x:v>
      </x:c>
      <x:c r="C22" s="170" t="str">
        <x:v>Iso-Lateral High Row</x:v>
      </x:c>
      <x:c r="D22" s="170" t="n">
        <x:v>1</x:v>
      </x:c>
      <x:c r="E22" s="170" t="n">
        <x:v>10</x:v>
      </x:c>
      <x:c r="F22" s="170" t="str">
        <x:v>kg plates each side</x:v>
      </x:c>
      <x:c r="G22" s="170" t="n">
        <x:v>15</x:v>
      </x:c>
      <x:c r="H22" s="170"/>
      <x:c r="I22" s="170"/>
      <x:c r="J22" s="170"/>
      <x:c r="K22" s="170"/>
      <x:c r="L22" s="170"/>
      <x:c r="M22" s="170" t="str">
        <x:v>Not recorded</x:v>
      </x:c>
      <x:c r="N22" s="170" t="str">
        <x:v>Not recorded</x:v>
      </x:c>
    </x:row>
    <x:row r="23" ht="15" hidden="0" customHeight="1">
      <x:c r="A23" s="220" t="n">
        <x:v>46237</x:v>
      </x:c>
      <x:c r="B23" s="170" t="str">
        <x:v>Back</x:v>
      </x:c>
      <x:c r="C23" s="170" t="str">
        <x:v>Iso-Lateral High Row</x:v>
      </x:c>
      <x:c r="D23" s="170" t="n">
        <x:v>2</x:v>
      </x:c>
      <x:c r="E23" s="170" t="n">
        <x:v>15</x:v>
      </x:c>
      <x:c r="F23" s="170" t="str">
        <x:v>kg plates each side</x:v>
      </x:c>
      <x:c r="G23" s="170" t="n">
        <x:v>10</x:v>
      </x:c>
      <x:c r="H23" s="170"/>
      <x:c r="I23" s="170"/>
      <x:c r="J23" s="170"/>
      <x:c r="K23" s="170"/>
      <x:c r="L23" s="170"/>
      <x:c r="M23" s="170" t="str">
        <x:v>Not recorded</x:v>
      </x:c>
      <x:c r="N23" s="170" t="str">
        <x:v>Not recorded</x:v>
      </x:c>
    </x:row>
    <x:row r="24" ht="26.399999618530273" hidden="0" customHeight="1">
      <x:c r="A24" s="220" t="n">
        <x:v>46237</x:v>
      </x:c>
      <x:c r="B24" s="170" t="str">
        <x:v>Back</x:v>
      </x:c>
      <x:c r="C24" s="170" t="str">
        <x:v>Iso-Lateral High Row</x:v>
      </x:c>
      <x:c r="D24" s="170" t="n">
        <x:v>3</x:v>
      </x:c>
      <x:c r="E24" s="170" t="n">
        <x:v>15</x:v>
      </x:c>
      <x:c r="F24" s="170" t="str">
        <x:v>kg plates each side</x:v>
      </x:c>
      <x:c r="G24" s="170" t="n">
        <x:v>10</x:v>
      </x:c>
      <x:c r="H24" s="170"/>
      <x:c r="I24" s="170"/>
      <x:c r="J24" s="170"/>
      <x:c r="K24" s="170"/>
      <x:c r="L24" s="170" t="str">
        <x:v>Use instead of another row when lower back is fatigued</x:v>
      </x:c>
      <x:c r="M24" s="170" t="str">
        <x:v>Not recorded</x:v>
      </x:c>
      <x:c r="N24" s="170" t="str">
        <x:v>Not recorded</x:v>
      </x:c>
    </x:row>
    <x:row r="25" ht="15" hidden="0" customHeight="1">
      <x:c r="A25" s="220" t="n">
        <x:v>46237</x:v>
      </x:c>
      <x:c r="B25" s="170" t="str">
        <x:v>Back</x:v>
      </x:c>
      <x:c r="C25" s="170" t="str">
        <x:v>Hyperextension</x:v>
      </x:c>
      <x:c r="D25" s="170" t="n">
        <x:v>1</x:v>
      </x:c>
      <x:c r="E25" s="170" t="n">
        <x:v>0</x:v>
      </x:c>
      <x:c r="F25" s="170" t="str">
        <x:v>bodyweight / plate held</x:v>
      </x:c>
      <x:c r="G25" s="170" t="n">
        <x:v>15</x:v>
      </x:c>
      <x:c r="H25" s="170"/>
      <x:c r="I25" s="170"/>
      <x:c r="J25" s="170"/>
      <x:c r="K25" s="170"/>
      <x:c r="L25" s="170"/>
      <x:c r="M25" s="170" t="str">
        <x:v>Not recorded</x:v>
      </x:c>
      <x:c r="N25" s="170" t="str">
        <x:v>Not recorded</x:v>
      </x:c>
    </x:row>
    <x:row r="26" ht="15" hidden="0" customHeight="1">
      <x:c r="A26" s="220" t="n">
        <x:v>46237</x:v>
      </x:c>
      <x:c r="B26" s="170" t="str">
        <x:v>Back</x:v>
      </x:c>
      <x:c r="C26" s="170" t="str">
        <x:v>Hyperextension</x:v>
      </x:c>
      <x:c r="D26" s="170" t="n">
        <x:v>2</x:v>
      </x:c>
      <x:c r="E26" s="170" t="n">
        <x:v>10</x:v>
      </x:c>
      <x:c r="F26" s="170" t="str">
        <x:v>bodyweight / plate held</x:v>
      </x:c>
      <x:c r="G26" s="170" t="n">
        <x:v>12</x:v>
      </x:c>
      <x:c r="H26" s="170"/>
      <x:c r="I26" s="170"/>
      <x:c r="J26" s="170"/>
      <x:c r="K26" s="170"/>
      <x:c r="L26" s="170"/>
      <x:c r="M26" s="170" t="str">
        <x:v>Not recorded</x:v>
      </x:c>
      <x:c r="N26" s="170" t="str">
        <x:v>Not recorded</x:v>
      </x:c>
    </x:row>
    <x:row r="27" ht="15" hidden="0" customHeight="1">
      <x:c r="A27" s="220" t="n">
        <x:v>46237</x:v>
      </x:c>
      <x:c r="B27" s="170" t="str">
        <x:v>Back</x:v>
      </x:c>
      <x:c r="C27" s="170" t="str">
        <x:v>Hyperextension</x:v>
      </x:c>
      <x:c r="D27" s="170" t="n">
        <x:v>3</x:v>
      </x:c>
      <x:c r="E27" s="170" t="n">
        <x:v>15</x:v>
      </x:c>
      <x:c r="F27" s="170" t="str">
        <x:v>bodyweight / plate held</x:v>
      </x:c>
      <x:c r="G27" s="170" t="n">
        <x:v>10</x:v>
      </x:c>
      <x:c r="H27" s="170" t="str">
        <x:v>Controlled; no overextension</x:v>
      </x:c>
      <x:c r="I27" s="170"/>
      <x:c r="J27" s="170"/>
      <x:c r="K27" s="170"/>
      <x:c r="L27" s="170" t="str">
        <x:v>Keep 10–15 kg controlled</x:v>
      </x:c>
      <x:c r="M27" s="170" t="str">
        <x:v>Not recorded</x:v>
      </x:c>
      <x:c r="N27" s="170" t="str">
        <x:v>Not recorded</x:v>
      </x:c>
    </x:row>
    <x:row r="28" ht="15" hidden="0" customHeight="1">
      <x:c r="A28" s="220" t="n">
        <x:v>46238</x:v>
      </x:c>
      <x:c r="B28" s="170" t="str">
        <x:v>Chest</x:v>
      </x:c>
      <x:c r="C28" s="170" t="str">
        <x:v>Flat Bench Press</x:v>
      </x:c>
      <x:c r="D28" s="170" t="n">
        <x:v>1</x:v>
      </x:c>
      <x:c r="E28" s="170" t="n">
        <x:v>15</x:v>
      </x:c>
      <x:c r="F28" s="170" t="str">
        <x:v>kg plates each side; bar excluded</x:v>
      </x:c>
      <x:c r="G28" s="170" t="n">
        <x:v>15</x:v>
      </x:c>
      <x:c r="H28" s="170"/>
      <x:c r="I28" s="170"/>
      <x:c r="J28" s="170"/>
      <x:c r="K28" s="170"/>
      <x:c r="L28" s="170"/>
      <x:c r="M28" s="170" t="str">
        <x:v>Not recorded</x:v>
      </x:c>
      <x:c r="N28" s="170" t="str">
        <x:v>Not recorded</x:v>
      </x:c>
    </x:row>
    <x:row r="29" ht="15" hidden="0" customHeight="1">
      <x:c r="A29" s="220" t="n">
        <x:v>46238</x:v>
      </x:c>
      <x:c r="B29" s="170" t="str">
        <x:v>Chest</x:v>
      </x:c>
      <x:c r="C29" s="170" t="str">
        <x:v>Flat Bench Press</x:v>
      </x:c>
      <x:c r="D29" s="170" t="n">
        <x:v>2</x:v>
      </x:c>
      <x:c r="E29" s="170" t="n">
        <x:v>17.5</x:v>
      </x:c>
      <x:c r="F29" s="170" t="str">
        <x:v>kg plates each side; bar excluded</x:v>
      </x:c>
      <x:c r="G29" s="170" t="n">
        <x:v>12</x:v>
      </x:c>
      <x:c r="H29" s="170"/>
      <x:c r="I29" s="170"/>
      <x:c r="J29" s="170"/>
      <x:c r="K29" s="170"/>
      <x:c r="L29" s="170"/>
      <x:c r="M29" s="170" t="str">
        <x:v>Not recorded</x:v>
      </x:c>
      <x:c r="N29" s="170" t="str">
        <x:v>Not recorded</x:v>
      </x:c>
    </x:row>
    <x:row r="30" ht="15" hidden="0" customHeight="1">
      <x:c r="A30" s="220" t="n">
        <x:v>46238</x:v>
      </x:c>
      <x:c r="B30" s="170" t="str">
        <x:v>Chest</x:v>
      </x:c>
      <x:c r="C30" s="170" t="str">
        <x:v>Flat Bench Press</x:v>
      </x:c>
      <x:c r="D30" s="170" t="n">
        <x:v>3</x:v>
      </x:c>
      <x:c r="E30" s="170" t="n">
        <x:v>20</x:v>
      </x:c>
      <x:c r="F30" s="170" t="str">
        <x:v>kg plates each side; bar excluded</x:v>
      </x:c>
      <x:c r="G30" s="170" t="n">
        <x:v>9</x:v>
      </x:c>
      <x:c r="H30" s="170"/>
      <x:c r="I30" s="170"/>
      <x:c r="J30" s="170"/>
      <x:c r="K30" s="170"/>
      <x:c r="L30" s="170"/>
      <x:c r="M30" s="170" t="str">
        <x:v>Not recorded</x:v>
      </x:c>
      <x:c r="N30" s="170" t="str">
        <x:v>Not recorded</x:v>
      </x:c>
    </x:row>
    <x:row r="31" ht="26.399999618530273" hidden="0" customHeight="1">
      <x:c r="A31" s="220" t="n">
        <x:v>46238</x:v>
      </x:c>
      <x:c r="B31" s="170" t="str">
        <x:v>Chest</x:v>
      </x:c>
      <x:c r="C31" s="170" t="str">
        <x:v>Flat Bench Press</x:v>
      </x:c>
      <x:c r="D31" s="170" t="n">
        <x:v>4</x:v>
      </x:c>
      <x:c r="E31" s="170" t="n">
        <x:v>22.5</x:v>
      </x:c>
      <x:c r="F31" s="170" t="str">
        <x:v>kg plates each side; bar excluded</x:v>
      </x:c>
      <x:c r="G31" s="170" t="n">
        <x:v>6</x:v>
      </x:c>
      <x:c r="H31" s="170"/>
      <x:c r="I31" s="170" t="str">
        <x:v>No pain; later mild side-deltoid soreness</x:v>
      </x:c>
      <x:c r="J31" s="170" t="str">
        <x:v>Medium</x:v>
      </x:c>
      <x:c r="K31" s="170" t="str">
        <x:v>Good</x:v>
      </x:c>
      <x:c r="L31" s="170" t="str">
        <x:v>Next: 20 kg/side × 10; 22.5 kg/side toward 8</x:v>
      </x:c>
      <x:c r="M31" s="170" t="str">
        <x:v>Not recorded</x:v>
      </x:c>
      <x:c r="N31" s="170" t="str">
        <x:v>Not recorded</x:v>
      </x:c>
    </x:row>
    <x:row r="32" ht="15" hidden="0" customHeight="1">
      <x:c r="A32" s="220" t="n">
        <x:v>46238</x:v>
      </x:c>
      <x:c r="B32" s="170" t="str">
        <x:v>Chest</x:v>
      </x:c>
      <x:c r="C32" s="170" t="str">
        <x:v>Incline Dumbbell Press</x:v>
      </x:c>
      <x:c r="D32" s="170" t="n">
        <x:v>1</x:v>
      </x:c>
      <x:c r="E32" s="170" t="n">
        <x:v>17.5</x:v>
      </x:c>
      <x:c r="F32" s="170" t="str">
        <x:v>kg each dumbbell</x:v>
      </x:c>
      <x:c r="G32" s="170" t="n">
        <x:v>14</x:v>
      </x:c>
      <x:c r="H32" s="170"/>
      <x:c r="I32" s="170"/>
      <x:c r="J32" s="170"/>
      <x:c r="K32" s="170"/>
      <x:c r="L32" s="170"/>
      <x:c r="M32" s="170" t="str">
        <x:v>Not recorded</x:v>
      </x:c>
      <x:c r="N32" s="170" t="str">
        <x:v>Not recorded</x:v>
      </x:c>
    </x:row>
    <x:row r="33" ht="15" hidden="0" customHeight="1">
      <x:c r="A33" s="220" t="n">
        <x:v>46238</x:v>
      </x:c>
      <x:c r="B33" s="170" t="str">
        <x:v>Chest</x:v>
      </x:c>
      <x:c r="C33" s="170" t="str">
        <x:v>Incline Dumbbell Press</x:v>
      </x:c>
      <x:c r="D33" s="170" t="n">
        <x:v>2</x:v>
      </x:c>
      <x:c r="E33" s="170" t="n">
        <x:v>20</x:v>
      </x:c>
      <x:c r="F33" s="170" t="str">
        <x:v>kg each dumbbell</x:v>
      </x:c>
      <x:c r="G33" s="170" t="n">
        <x:v>10</x:v>
      </x:c>
      <x:c r="H33" s="170"/>
      <x:c r="I33" s="170"/>
      <x:c r="J33" s="170"/>
      <x:c r="K33" s="170"/>
      <x:c r="L33" s="170"/>
      <x:c r="M33" s="170" t="str">
        <x:v>Not recorded</x:v>
      </x:c>
      <x:c r="N33" s="170" t="str">
        <x:v>Not recorded</x:v>
      </x:c>
    </x:row>
    <x:row r="34" ht="15" hidden="0" customHeight="1">
      <x:c r="A34" s="220" t="n">
        <x:v>46238</x:v>
      </x:c>
      <x:c r="B34" s="170" t="str">
        <x:v>Chest</x:v>
      </x:c>
      <x:c r="C34" s="170" t="str">
        <x:v>Incline Dumbbell Press</x:v>
      </x:c>
      <x:c r="D34" s="170" t="n">
        <x:v>3</x:v>
      </x:c>
      <x:c r="E34" s="170" t="n">
        <x:v>22.5</x:v>
      </x:c>
      <x:c r="F34" s="170" t="str">
        <x:v>kg each dumbbell</x:v>
      </x:c>
      <x:c r="G34" s="170" t="n">
        <x:v>8</x:v>
      </x:c>
      <x:c r="H34" s="170"/>
      <x:c r="I34" s="170"/>
      <x:c r="J34" s="170"/>
      <x:c r="K34" s="170"/>
      <x:c r="L34" s="170" t="str">
        <x:v>Next: 20 kg × 11–12; 22.5 kg × 9–10</x:v>
      </x:c>
      <x:c r="M34" s="170" t="str">
        <x:v>Not recorded</x:v>
      </x:c>
      <x:c r="N34" s="170" t="str">
        <x:v>Not recorded</x:v>
      </x:c>
    </x:row>
    <x:row r="35" ht="26.399999618530273" hidden="0" customHeight="1">
      <x:c r="A35" s="220" t="n">
        <x:v>46238</x:v>
      </x:c>
      <x:c r="B35" s="170" t="str">
        <x:v>Chest</x:v>
      </x:c>
      <x:c r="C35" s="170" t="str">
        <x:v>Plate-Loaded Converging Chest Press</x:v>
      </x:c>
      <x:c r="D35" s="170" t="n">
        <x:v>1</x:v>
      </x:c>
      <x:c r="E35" s="170" t="n">
        <x:v>30</x:v>
      </x:c>
      <x:c r="F35" s="170" t="str">
        <x:v>kg plates each side</x:v>
      </x:c>
      <x:c r="G35" s="170" t="n">
        <x:v>15</x:v>
      </x:c>
      <x:c r="H35" s="170"/>
      <x:c r="I35" s="170"/>
      <x:c r="J35" s="170"/>
      <x:c r="K35" s="170"/>
      <x:c r="L35" s="170"/>
      <x:c r="M35" s="170" t="str">
        <x:v>Not recorded</x:v>
      </x:c>
      <x:c r="N35" s="170" t="str">
        <x:v>Not recorded</x:v>
      </x:c>
    </x:row>
    <x:row r="36" ht="26.399999618530273" hidden="0" customHeight="1">
      <x:c r="A36" s="220" t="n">
        <x:v>46238</x:v>
      </x:c>
      <x:c r="B36" s="170" t="str">
        <x:v>Chest</x:v>
      </x:c>
      <x:c r="C36" s="170" t="str">
        <x:v>Plate-Loaded Converging Chest Press</x:v>
      </x:c>
      <x:c r="D36" s="170" t="n">
        <x:v>2</x:v>
      </x:c>
      <x:c r="E36" s="170" t="n">
        <x:v>40</x:v>
      </x:c>
      <x:c r="F36" s="170" t="str">
        <x:v>kg plates each side</x:v>
      </x:c>
      <x:c r="G36" s="170" t="n">
        <x:v>9</x:v>
      </x:c>
      <x:c r="H36" s="170"/>
      <x:c r="I36" s="170"/>
      <x:c r="J36" s="170"/>
      <x:c r="K36" s="170"/>
      <x:c r="L36" s="170"/>
      <x:c r="M36" s="170" t="str">
        <x:v>Not recorded</x:v>
      </x:c>
      <x:c r="N36" s="170" t="str">
        <x:v>Not recorded</x:v>
      </x:c>
    </x:row>
    <x:row r="37" ht="26.399999618530273" hidden="0" customHeight="1">
      <x:c r="A37" s="220" t="n">
        <x:v>46238</x:v>
      </x:c>
      <x:c r="B37" s="170" t="str">
        <x:v>Chest</x:v>
      </x:c>
      <x:c r="C37" s="170" t="str">
        <x:v>Plate-Loaded Converging Chest Press</x:v>
      </x:c>
      <x:c r="D37" s="170" t="n">
        <x:v>3</x:v>
      </x:c>
      <x:c r="E37" s="170" t="n">
        <x:v>40</x:v>
      </x:c>
      <x:c r="F37" s="170" t="str">
        <x:v>kg plates each side</x:v>
      </x:c>
      <x:c r="G37" s="170" t="n">
        <x:v>8</x:v>
      </x:c>
      <x:c r="H37" s="170"/>
      <x:c r="I37" s="170"/>
      <x:c r="J37" s="170"/>
      <x:c r="K37" s="170"/>
      <x:c r="L37" s="170" t="str">
        <x:v>Next: 40 kg/side × 10 for 2 sets</x:v>
      </x:c>
      <x:c r="M37" s="170" t="str">
        <x:v>Not recorded</x:v>
      </x:c>
      <x:c r="N37" s="170" t="str">
        <x:v>Not recorded</x:v>
      </x:c>
    </x:row>
    <x:row r="38" ht="15" hidden="0" customHeight="1">
      <x:c r="A38" s="220" t="n">
        <x:v>46238</x:v>
      </x:c>
      <x:c r="B38" s="170" t="str">
        <x:v>Chest</x:v>
      </x:c>
      <x:c r="C38" s="170" t="str">
        <x:v>Decline Bench Press</x:v>
      </x:c>
      <x:c r="D38" s="170" t="n">
        <x:v>1</x:v>
      </x:c>
      <x:c r="E38" s="170" t="n">
        <x:v>15</x:v>
      </x:c>
      <x:c r="F38" s="170" t="str">
        <x:v>kg plates each side</x:v>
      </x:c>
      <x:c r="G38" s="170" t="n">
        <x:v>8</x:v>
      </x:c>
      <x:c r="H38" s="170"/>
      <x:c r="I38" s="170"/>
      <x:c r="J38" s="170"/>
      <x:c r="K38" s="170"/>
      <x:c r="L38" s="170"/>
      <x:c r="M38" s="170" t="str">
        <x:v>Not recorded</x:v>
      </x:c>
      <x:c r="N38" s="170" t="str">
        <x:v>Not recorded</x:v>
      </x:c>
    </x:row>
    <x:row r="39" ht="15" hidden="0" customHeight="1">
      <x:c r="A39" s="220" t="n">
        <x:v>46238</x:v>
      </x:c>
      <x:c r="B39" s="170" t="str">
        <x:v>Chest</x:v>
      </x:c>
      <x:c r="C39" s="170" t="str">
        <x:v>Decline Bench Press</x:v>
      </x:c>
      <x:c r="D39" s="170" t="n">
        <x:v>2</x:v>
      </x:c>
      <x:c r="E39" s="170" t="n">
        <x:v>15</x:v>
      </x:c>
      <x:c r="F39" s="170" t="str">
        <x:v>kg plates each side</x:v>
      </x:c>
      <x:c r="G39" s="170" t="n">
        <x:v>6</x:v>
      </x:c>
      <x:c r="H39" s="170"/>
      <x:c r="I39" s="170"/>
      <x:c r="J39" s="170"/>
      <x:c r="K39" s="170"/>
      <x:c r="L39" s="170" t="str">
        <x:v>Do not use as 4th press next time</x:v>
      </x:c>
      <x:c r="M39" s="170" t="str">
        <x:v>Not recorded</x:v>
      </x:c>
      <x:c r="N39" s="170" t="str">
        <x:v>Not recorded</x:v>
      </x:c>
    </x:row>
    <x:row r="40" ht="15" hidden="0" customHeight="1">
      <x:c r="A40" s="220" t="n">
        <x:v>46238</x:v>
      </x:c>
      <x:c r="B40" s="170" t="str">
        <x:v>Chest</x:v>
      </x:c>
      <x:c r="C40" s="170" t="str">
        <x:v>Cable Fly</x:v>
      </x:c>
      <x:c r="D40" s="170" t="n">
        <x:v>1</x:v>
      </x:c>
      <x:c r="E40" s="170" t="n">
        <x:v>15</x:v>
      </x:c>
      <x:c r="F40" s="170" t="str">
        <x:v>kg each side</x:v>
      </x:c>
      <x:c r="G40" s="170" t="n">
        <x:v>15</x:v>
      </x:c>
      <x:c r="H40" s="170"/>
      <x:c r="I40" s="170"/>
      <x:c r="J40" s="170"/>
      <x:c r="K40" s="170"/>
      <x:c r="L40" s="170"/>
      <x:c r="M40" s="170" t="str">
        <x:v>Not recorded</x:v>
      </x:c>
      <x:c r="N40" s="170" t="str">
        <x:v>Not recorded</x:v>
      </x:c>
    </x:row>
    <x:row r="41" ht="15" hidden="0" customHeight="1">
      <x:c r="A41" s="220" t="n">
        <x:v>46238</x:v>
      </x:c>
      <x:c r="B41" s="170" t="str">
        <x:v>Chest</x:v>
      </x:c>
      <x:c r="C41" s="170" t="str">
        <x:v>Cable Fly</x:v>
      </x:c>
      <x:c r="D41" s="170" t="n">
        <x:v>2</x:v>
      </x:c>
      <x:c r="E41" s="170" t="n">
        <x:v>20</x:v>
      </x:c>
      <x:c r="F41" s="170" t="str">
        <x:v>kg each side</x:v>
      </x:c>
      <x:c r="G41" s="170" t="n">
        <x:v>12</x:v>
      </x:c>
      <x:c r="H41" s="170"/>
      <x:c r="I41" s="170"/>
      <x:c r="J41" s="170"/>
      <x:c r="K41" s="170"/>
      <x:c r="L41" s="170"/>
      <x:c r="M41" s="170" t="str">
        <x:v>Not recorded</x:v>
      </x:c>
      <x:c r="N41" s="170" t="str">
        <x:v>Not recorded</x:v>
      </x:c>
    </x:row>
    <x:row r="42" ht="15" hidden="0" customHeight="1">
      <x:c r="A42" s="220" t="n">
        <x:v>46238</x:v>
      </x:c>
      <x:c r="B42" s="170" t="str">
        <x:v>Chest</x:v>
      </x:c>
      <x:c r="C42" s="170" t="str">
        <x:v>Cable Fly</x:v>
      </x:c>
      <x:c r="D42" s="170" t="n">
        <x:v>3</x:v>
      </x:c>
      <x:c r="E42" s="170" t="n">
        <x:v>25</x:v>
      </x:c>
      <x:c r="F42" s="170" t="str">
        <x:v>kg each side</x:v>
      </x:c>
      <x:c r="G42" s="170" t="n">
        <x:v>12</x:v>
      </x:c>
      <x:c r="H42" s="170" t="str">
        <x:v>25 kg set had questionable form</x:v>
      </x:c>
      <x:c r="I42" s="170"/>
      <x:c r="J42" s="170"/>
      <x:c r="K42" s="170"/>
      <x:c r="L42" s="170" t="str">
        <x:v>Stay at 15–20 kg until 20 kg × 13–15 clean</x:v>
      </x:c>
      <x:c r="M42" s="170" t="str">
        <x:v>Not recorded</x:v>
      </x:c>
      <x:c r="N42" s="170" t="str">
        <x:v>Not recorded</x:v>
      </x:c>
    </x:row>
    <x:row r="43" ht="15" hidden="0" customHeight="1">
      <x:c r="A43" s="220" t="n">
        <x:v>46238</x:v>
      </x:c>
      <x:c r="B43" s="170" t="str">
        <x:v>Chest</x:v>
      </x:c>
      <x:c r="C43" s="170" t="str">
        <x:v>Pec Deck Fly</x:v>
      </x:c>
      <x:c r="D43" s="170" t="n">
        <x:v>1</x:v>
      </x:c>
      <x:c r="E43" s="170" t="n">
        <x:v>45</x:v>
      </x:c>
      <x:c r="F43" s="170" t="str">
        <x:v>kg machine stack</x:v>
      </x:c>
      <x:c r="G43" s="170" t="n">
        <x:v>15</x:v>
      </x:c>
      <x:c r="H43" s="170"/>
      <x:c r="I43" s="170"/>
      <x:c r="J43" s="170"/>
      <x:c r="K43" s="170"/>
      <x:c r="L43" s="170"/>
      <x:c r="M43" s="170" t="str">
        <x:v>Not recorded</x:v>
      </x:c>
      <x:c r="N43" s="170" t="str">
        <x:v>Not recorded</x:v>
      </x:c>
    </x:row>
    <x:row r="44" ht="15" hidden="0" customHeight="1">
      <x:c r="A44" s="220" t="n">
        <x:v>46238</x:v>
      </x:c>
      <x:c r="B44" s="170" t="str">
        <x:v>Chest</x:v>
      </x:c>
      <x:c r="C44" s="170" t="str">
        <x:v>Pec Deck Fly</x:v>
      </x:c>
      <x:c r="D44" s="170" t="n">
        <x:v>2</x:v>
      </x:c>
      <x:c r="E44" s="170" t="n">
        <x:v>50</x:v>
      </x:c>
      <x:c r="F44" s="170" t="str">
        <x:v>kg machine stack</x:v>
      </x:c>
      <x:c r="G44" s="170" t="n">
        <x:v>12</x:v>
      </x:c>
      <x:c r="H44" s="170"/>
      <x:c r="I44" s="170"/>
      <x:c r="J44" s="170"/>
      <x:c r="K44" s="170"/>
      <x:c r="L44" s="170"/>
      <x:c r="M44" s="170" t="str">
        <x:v>Not recorded</x:v>
      </x:c>
      <x:c r="N44" s="170" t="str">
        <x:v>Not recorded</x:v>
      </x:c>
    </x:row>
    <x:row r="45" ht="15" hidden="0" customHeight="1">
      <x:c r="A45" s="220" t="n">
        <x:v>46238</x:v>
      </x:c>
      <x:c r="B45" s="170" t="str">
        <x:v>Chest</x:v>
      </x:c>
      <x:c r="C45" s="170" t="str">
        <x:v>Pec Deck Fly</x:v>
      </x:c>
      <x:c r="D45" s="170" t="n">
        <x:v>3</x:v>
      </x:c>
      <x:c r="E45" s="170" t="n">
        <x:v>55</x:v>
      </x:c>
      <x:c r="F45" s="170" t="str">
        <x:v>kg machine stack</x:v>
      </x:c>
      <x:c r="G45" s="170" t="n">
        <x:v>10</x:v>
      </x:c>
      <x:c r="H45" s="170"/>
      <x:c r="I45" s="170"/>
      <x:c r="J45" s="170"/>
      <x:c r="K45" s="170"/>
      <x:c r="L45" s="170" t="str">
        <x:v>Next: 55 kg × 11–12</x:v>
      </x:c>
      <x:c r="M45" s="170" t="str">
        <x:v>Not recorded</x:v>
      </x:c>
      <x:c r="N45" s="170" t="str">
        <x:v>Not recorded</x:v>
      </x:c>
    </x:row>
    <x:row r="46" ht="15" hidden="0" customHeight="1">
      <x:c r="A46" s="220" t="n">
        <x:v>46239</x:v>
      </x:c>
      <x:c r="B46" s="170" t="str">
        <x:v>Biceps</x:v>
      </x:c>
      <x:c r="C46" s="170" t="str">
        <x:v>EZ Bar Curl</x:v>
      </x:c>
      <x:c r="D46" s="170" t="n">
        <x:v>1</x:v>
      </x:c>
      <x:c r="E46" s="170" t="n">
        <x:v>7.5</x:v>
      </x:c>
      <x:c r="F46" s="170" t="str">
        <x:v>kg plates each side</x:v>
      </x:c>
      <x:c r="G46" s="170" t="n">
        <x:v>15</x:v>
      </x:c>
      <x:c r="H46" s="170"/>
      <x:c r="I46" s="170"/>
      <x:c r="J46" s="170"/>
      <x:c r="K46" s="170"/>
      <x:c r="L46" s="170"/>
      <x:c r="M46" s="170" t="str">
        <x:v>Not recorded</x:v>
      </x:c>
      <x:c r="N46" s="170" t="str">
        <x:v>Not recorded</x:v>
      </x:c>
    </x:row>
    <x:row r="47" ht="15" hidden="0" customHeight="1">
      <x:c r="A47" s="220" t="n">
        <x:v>46239</x:v>
      </x:c>
      <x:c r="B47" s="170" t="str">
        <x:v>Biceps</x:v>
      </x:c>
      <x:c r="C47" s="170" t="str">
        <x:v>EZ Bar Curl</x:v>
      </x:c>
      <x:c r="D47" s="170" t="n">
        <x:v>2</x:v>
      </x:c>
      <x:c r="E47" s="170" t="n">
        <x:v>10</x:v>
      </x:c>
      <x:c r="F47" s="170" t="str">
        <x:v>kg plates each side</x:v>
      </x:c>
      <x:c r="G47" s="170" t="n">
        <x:v>12</x:v>
      </x:c>
      <x:c r="H47" s="170"/>
      <x:c r="I47" s="170"/>
      <x:c r="J47" s="170"/>
      <x:c r="K47" s="170"/>
      <x:c r="L47" s="170"/>
      <x:c r="M47" s="170" t="str">
        <x:v>Not recorded</x:v>
      </x:c>
      <x:c r="N47" s="170" t="str">
        <x:v>Not recorded</x:v>
      </x:c>
    </x:row>
    <x:row r="48" ht="15" hidden="0" customHeight="1">
      <x:c r="A48" s="220" t="n">
        <x:v>46239</x:v>
      </x:c>
      <x:c r="B48" s="170" t="str">
        <x:v>Biceps</x:v>
      </x:c>
      <x:c r="C48" s="170" t="str">
        <x:v>EZ Bar Curl</x:v>
      </x:c>
      <x:c r="D48" s="170" t="n">
        <x:v>3</x:v>
      </x:c>
      <x:c r="E48" s="170" t="n">
        <x:v>12.5</x:v>
      </x:c>
      <x:c r="F48" s="170" t="str">
        <x:v>kg plates each side</x:v>
      </x:c>
      <x:c r="G48" s="170" t="n">
        <x:v>9</x:v>
      </x:c>
      <x:c r="H48" s="170"/>
      <x:c r="I48" s="170"/>
      <x:c r="J48" s="170"/>
      <x:c r="K48" s="170"/>
      <x:c r="L48" s="170"/>
      <x:c r="M48" s="170" t="str">
        <x:v>Not recorded</x:v>
      </x:c>
      <x:c r="N48" s="170" t="str">
        <x:v>Not recorded</x:v>
      </x:c>
    </x:row>
    <x:row r="49" ht="26.399999618530273" hidden="0" customHeight="1">
      <x:c r="A49" s="220" t="n">
        <x:v>46239</x:v>
      </x:c>
      <x:c r="B49" s="170" t="str">
        <x:v>Biceps</x:v>
      </x:c>
      <x:c r="C49" s="170" t="str">
        <x:v>EZ Bar Curl</x:v>
      </x:c>
      <x:c r="D49" s="170" t="n">
        <x:v>4</x:v>
      </x:c>
      <x:c r="E49" s="170" t="n">
        <x:v>15</x:v>
      </x:c>
      <x:c r="F49" s="170" t="str">
        <x:v>kg plates each side</x:v>
      </x:c>
      <x:c r="G49" s="170" t="n">
        <x:v>7</x:v>
      </x:c>
      <x:c r="H49" s="170"/>
      <x:c r="I49" s="170" t="str">
        <x:v>Side-deltoid soreness 3/10 before workout; muscular, not joint</x:v>
      </x:c>
      <x:c r="J49" s="170"/>
      <x:c r="K49" s="170"/>
      <x:c r="L49" s="170" t="str">
        <x:v>Next: 12.5 kg/side × 10; 15 kg/side × 8</x:v>
      </x:c>
      <x:c r="M49" s="170" t="str">
        <x:v>Not recorded</x:v>
      </x:c>
      <x:c r="N49" s="170" t="str">
        <x:v>Not recorded</x:v>
      </x:c>
    </x:row>
    <x:row r="50" ht="15" hidden="0" customHeight="1">
      <x:c r="A50" s="220" t="n">
        <x:v>46239</x:v>
      </x:c>
      <x:c r="B50" s="170" t="str">
        <x:v>Biceps</x:v>
      </x:c>
      <x:c r="C50" s="170" t="str">
        <x:v>Hammer Dumbbell Curl</x:v>
      </x:c>
      <x:c r="D50" s="170" t="n">
        <x:v>1</x:v>
      </x:c>
      <x:c r="E50" s="170" t="n">
        <x:v>12.5</x:v>
      </x:c>
      <x:c r="F50" s="170" t="str">
        <x:v>kg each dumbbell</x:v>
      </x:c>
      <x:c r="G50" s="170" t="n">
        <x:v>15</x:v>
      </x:c>
      <x:c r="H50" s="170"/>
      <x:c r="I50" s="170"/>
      <x:c r="J50" s="170"/>
      <x:c r="K50" s="170"/>
      <x:c r="L50" s="170"/>
      <x:c r="M50" s="170" t="str">
        <x:v>Not recorded</x:v>
      </x:c>
      <x:c r="N50" s="170" t="str">
        <x:v>Not recorded</x:v>
      </x:c>
    </x:row>
    <x:row r="51" ht="15" hidden="0" customHeight="1">
      <x:c r="A51" s="220" t="n">
        <x:v>46239</x:v>
      </x:c>
      <x:c r="B51" s="170" t="str">
        <x:v>Biceps</x:v>
      </x:c>
      <x:c r="C51" s="170" t="str">
        <x:v>Hammer Dumbbell Curl</x:v>
      </x:c>
      <x:c r="D51" s="170" t="n">
        <x:v>2</x:v>
      </x:c>
      <x:c r="E51" s="170" t="n">
        <x:v>15</x:v>
      </x:c>
      <x:c r="F51" s="170" t="str">
        <x:v>kg each dumbbell</x:v>
      </x:c>
      <x:c r="G51" s="170" t="n">
        <x:v>12</x:v>
      </x:c>
      <x:c r="H51" s="170"/>
      <x:c r="I51" s="170"/>
      <x:c r="J51" s="170"/>
      <x:c r="K51" s="170"/>
      <x:c r="L51" s="170"/>
      <x:c r="M51" s="170" t="str">
        <x:v>Not recorded</x:v>
      </x:c>
      <x:c r="N51" s="170" t="str">
        <x:v>Not recorded</x:v>
      </x:c>
    </x:row>
    <x:row r="52" ht="15" hidden="0" customHeight="1">
      <x:c r="A52" s="220" t="n">
        <x:v>46239</x:v>
      </x:c>
      <x:c r="B52" s="170" t="str">
        <x:v>Biceps</x:v>
      </x:c>
      <x:c r="C52" s="170" t="str">
        <x:v>Hammer Dumbbell Curl</x:v>
      </x:c>
      <x:c r="D52" s="170" t="n">
        <x:v>3</x:v>
      </x:c>
      <x:c r="E52" s="170" t="n">
        <x:v>17.5</x:v>
      </x:c>
      <x:c r="F52" s="170" t="str">
        <x:v>kg each dumbbell</x:v>
      </x:c>
      <x:c r="G52" s="170" t="n">
        <x:v>10</x:v>
      </x:c>
      <x:c r="H52" s="170"/>
      <x:c r="I52" s="170"/>
      <x:c r="J52" s="170"/>
      <x:c r="K52" s="170"/>
      <x:c r="L52" s="170" t="str">
        <x:v>Next: 17.5 kg × 11–12</x:v>
      </x:c>
      <x:c r="M52" s="170" t="str">
        <x:v>Not recorded</x:v>
      </x:c>
      <x:c r="N52" s="170" t="str">
        <x:v>Not recorded</x:v>
      </x:c>
    </x:row>
    <x:row r="53" ht="15" hidden="0" customHeight="1">
      <x:c r="A53" s="220" t="n">
        <x:v>46239</x:v>
      </x:c>
      <x:c r="B53" s="170" t="str">
        <x:v>Biceps</x:v>
      </x:c>
      <x:c r="C53" s="170" t="str">
        <x:v>Plate-Loaded Biceps Curl</x:v>
      </x:c>
      <x:c r="D53" s="170" t="n">
        <x:v>1</x:v>
      </x:c>
      <x:c r="E53" s="170" t="n">
        <x:v>5</x:v>
      </x:c>
      <x:c r="F53" s="170" t="str">
        <x:v>kg plates each side</x:v>
      </x:c>
      <x:c r="G53" s="170" t="n">
        <x:v>17</x:v>
      </x:c>
      <x:c r="H53" s="170"/>
      <x:c r="I53" s="170"/>
      <x:c r="J53" s="170"/>
      <x:c r="K53" s="170"/>
      <x:c r="L53" s="170"/>
      <x:c r="M53" s="170" t="str">
        <x:v>Not recorded</x:v>
      </x:c>
      <x:c r="N53" s="170" t="str">
        <x:v>Not recorded</x:v>
      </x:c>
    </x:row>
    <x:row r="54" ht="15" hidden="0" customHeight="1">
      <x:c r="A54" s="220" t="n">
        <x:v>46239</x:v>
      </x:c>
      <x:c r="B54" s="170" t="str">
        <x:v>Biceps</x:v>
      </x:c>
      <x:c r="C54" s="170" t="str">
        <x:v>Plate-Loaded Biceps Curl</x:v>
      </x:c>
      <x:c r="D54" s="170" t="n">
        <x:v>2</x:v>
      </x:c>
      <x:c r="E54" s="170" t="n">
        <x:v>7.5</x:v>
      </x:c>
      <x:c r="F54" s="170" t="str">
        <x:v>kg plates each side</x:v>
      </x:c>
      <x:c r="G54" s="170" t="n">
        <x:v>13</x:v>
      </x:c>
      <x:c r="H54" s="170"/>
      <x:c r="I54" s="170"/>
      <x:c r="J54" s="170"/>
      <x:c r="K54" s="170"/>
      <x:c r="L54" s="170"/>
      <x:c r="M54" s="170" t="str">
        <x:v>Not recorded</x:v>
      </x:c>
      <x:c r="N54" s="170" t="str">
        <x:v>Not recorded</x:v>
      </x:c>
    </x:row>
    <x:row r="55" ht="15" hidden="0" customHeight="1">
      <x:c r="A55" s="220" t="n">
        <x:v>46239</x:v>
      </x:c>
      <x:c r="B55" s="170" t="str">
        <x:v>Biceps</x:v>
      </x:c>
      <x:c r="C55" s="170" t="str">
        <x:v>Plate-Loaded Biceps Curl</x:v>
      </x:c>
      <x:c r="D55" s="170" t="n">
        <x:v>3</x:v>
      </x:c>
      <x:c r="E55" s="170" t="n">
        <x:v>10</x:v>
      </x:c>
      <x:c r="F55" s="170" t="str">
        <x:v>kg plates each side</x:v>
      </x:c>
      <x:c r="G55" s="170" t="n">
        <x:v>11</x:v>
      </x:c>
      <x:c r="H55" s="170"/>
      <x:c r="I55" s="170"/>
      <x:c r="J55" s="170"/>
      <x:c r="K55" s="170"/>
      <x:c r="L55" s="170"/>
      <x:c r="M55" s="170" t="str">
        <x:v>Not recorded</x:v>
      </x:c>
      <x:c r="N55" s="170" t="str">
        <x:v>Not recorded</x:v>
      </x:c>
    </x:row>
    <x:row r="56" ht="26.399999618530273" hidden="0" customHeight="1">
      <x:c r="A56" s="220" t="n">
        <x:v>46239</x:v>
      </x:c>
      <x:c r="B56" s="170" t="str">
        <x:v>Biceps</x:v>
      </x:c>
      <x:c r="C56" s="170" t="str">
        <x:v>Plate-Loaded Biceps Curl</x:v>
      </x:c>
      <x:c r="D56" s="170" t="n">
        <x:v>4</x:v>
      </x:c>
      <x:c r="E56" s="170" t="n">
        <x:v>10.25</x:v>
      </x:c>
      <x:c r="F56" s="170" t="str">
        <x:v>kg plates each side</x:v>
      </x:c>
      <x:c r="G56" s="170" t="n">
        <x:v>9</x:v>
      </x:c>
      <x:c r="H56" s="170" t="str">
        <x:v>Last weight recorded as 10.25 kg; verify next session</x:v>
      </x:c>
      <x:c r="I56" s="170"/>
      <x:c r="J56" s="170"/>
      <x:c r="K56" s="170"/>
      <x:c r="L56" s="170" t="str">
        <x:v>Next: 10 kg/side × 12; confirm 10.25 entry</x:v>
      </x:c>
      <x:c r="M56" s="170" t="str">
        <x:v>Not recorded</x:v>
      </x:c>
      <x:c r="N56" s="170" t="str">
        <x:v>Not recorded</x:v>
      </x:c>
    </x:row>
    <x:row r="57" ht="15" hidden="0" customHeight="1">
      <x:c r="A57" s="220" t="n">
        <x:v>46239</x:v>
      </x:c>
      <x:c r="B57" s="170" t="str">
        <x:v>Biceps</x:v>
      </x:c>
      <x:c r="C57" s="170" t="str">
        <x:v>Cable Curl</x:v>
      </x:c>
      <x:c r="D57" s="170" t="n">
        <x:v>1</x:v>
      </x:c>
      <x:c r="E57" s="170" t="n">
        <x:v>30</x:v>
      </x:c>
      <x:c r="F57" s="170" t="str">
        <x:v>kg</x:v>
      </x:c>
      <x:c r="G57" s="170" t="n">
        <x:v>15</x:v>
      </x:c>
      <x:c r="H57" s="170"/>
      <x:c r="I57" s="170"/>
      <x:c r="J57" s="170"/>
      <x:c r="K57" s="170"/>
      <x:c r="L57" s="170"/>
      <x:c r="M57" s="170" t="str">
        <x:v>Not recorded</x:v>
      </x:c>
      <x:c r="N57" s="170" t="str">
        <x:v>Not recorded</x:v>
      </x:c>
    </x:row>
    <x:row r="58" ht="15" hidden="0" customHeight="1">
      <x:c r="A58" s="220" t="n">
        <x:v>46239</x:v>
      </x:c>
      <x:c r="B58" s="170" t="str">
        <x:v>Biceps</x:v>
      </x:c>
      <x:c r="C58" s="170" t="str">
        <x:v>Cable Curl</x:v>
      </x:c>
      <x:c r="D58" s="170" t="n">
        <x:v>2</x:v>
      </x:c>
      <x:c r="E58" s="170" t="n">
        <x:v>35</x:v>
      </x:c>
      <x:c r="F58" s="170" t="str">
        <x:v>kg</x:v>
      </x:c>
      <x:c r="G58" s="170" t="n">
        <x:v>12</x:v>
      </x:c>
      <x:c r="H58" s="170"/>
      <x:c r="I58" s="170"/>
      <x:c r="J58" s="170"/>
      <x:c r="K58" s="170"/>
      <x:c r="L58" s="170"/>
      <x:c r="M58" s="170" t="str">
        <x:v>Not recorded</x:v>
      </x:c>
      <x:c r="N58" s="170" t="str">
        <x:v>Not recorded</x:v>
      </x:c>
    </x:row>
    <x:row r="59" ht="15" hidden="0" customHeight="1">
      <x:c r="A59" s="220" t="n">
        <x:v>46239</x:v>
      </x:c>
      <x:c r="B59" s="170" t="str">
        <x:v>Biceps</x:v>
      </x:c>
      <x:c r="C59" s="170" t="str">
        <x:v>Cable Curl</x:v>
      </x:c>
      <x:c r="D59" s="170" t="n">
        <x:v>3</x:v>
      </x:c>
      <x:c r="E59" s="170" t="n">
        <x:v>40</x:v>
      </x:c>
      <x:c r="F59" s="170" t="str">
        <x:v>kg</x:v>
      </x:c>
      <x:c r="G59" s="170" t="n">
        <x:v>10</x:v>
      </x:c>
      <x:c r="H59" s="170"/>
      <x:c r="I59" s="170"/>
      <x:c r="J59" s="170"/>
      <x:c r="K59" s="170"/>
      <x:c r="L59" s="170" t="str">
        <x:v>Next: 40 kg × 11–12</x:v>
      </x:c>
      <x:c r="M59" s="170" t="str">
        <x:v>Not recorded</x:v>
      </x:c>
      <x:c r="N59" s="170" t="str">
        <x:v>Not recorded</x:v>
      </x:c>
    </x:row>
    <x:row r="60" ht="15" hidden="0" customHeight="1">
      <x:c r="A60" s="220" t="n">
        <x:v>46239</x:v>
      </x:c>
      <x:c r="B60" s="170" t="str">
        <x:v>Biceps</x:v>
      </x:c>
      <x:c r="C60" s="170" t="str">
        <x:v>Reverse EZ Bar Curl</x:v>
      </x:c>
      <x:c r="D60" s="170" t="n">
        <x:v>1</x:v>
      </x:c>
      <x:c r="E60" s="170" t="n">
        <x:v>5</x:v>
      </x:c>
      <x:c r="F60" s="170" t="str">
        <x:v>kg plates each side</x:v>
      </x:c>
      <x:c r="G60" s="170" t="n">
        <x:v>15</x:v>
      </x:c>
      <x:c r="H60" s="170"/>
      <x:c r="I60" s="170"/>
      <x:c r="J60" s="170"/>
      <x:c r="K60" s="170"/>
      <x:c r="L60" s="170"/>
      <x:c r="M60" s="170" t="str">
        <x:v>Not recorded</x:v>
      </x:c>
      <x:c r="N60" s="170" t="str">
        <x:v>Not recorded</x:v>
      </x:c>
    </x:row>
    <x:row r="61" ht="15" hidden="0" customHeight="1">
      <x:c r="A61" s="220" t="n">
        <x:v>46239</x:v>
      </x:c>
      <x:c r="B61" s="170" t="str">
        <x:v>Biceps</x:v>
      </x:c>
      <x:c r="C61" s="170" t="str">
        <x:v>Reverse EZ Bar Curl</x:v>
      </x:c>
      <x:c r="D61" s="170" t="n">
        <x:v>2</x:v>
      </x:c>
      <x:c r="E61" s="170" t="n">
        <x:v>7.5</x:v>
      </x:c>
      <x:c r="F61" s="170" t="str">
        <x:v>kg plates each side</x:v>
      </x:c>
      <x:c r="G61" s="170" t="n">
        <x:v>12</x:v>
      </x:c>
      <x:c r="H61" s="170"/>
      <x:c r="I61" s="170"/>
      <x:c r="J61" s="170"/>
      <x:c r="K61" s="170"/>
      <x:c r="L61" s="170"/>
      <x:c r="M61" s="170" t="str">
        <x:v>Not recorded</x:v>
      </x:c>
      <x:c r="N61" s="170" t="str">
        <x:v>Not recorded</x:v>
      </x:c>
    </x:row>
    <x:row r="62" ht="15" hidden="0" customHeight="1">
      <x:c r="A62" s="220" t="n">
        <x:v>46239</x:v>
      </x:c>
      <x:c r="B62" s="170" t="str">
        <x:v>Biceps</x:v>
      </x:c>
      <x:c r="C62" s="170" t="str">
        <x:v>Reverse EZ Bar Curl</x:v>
      </x:c>
      <x:c r="D62" s="170" t="n">
        <x:v>3</x:v>
      </x:c>
      <x:c r="E62" s="170" t="n">
        <x:v>10</x:v>
      </x:c>
      <x:c r="F62" s="170" t="str">
        <x:v>kg plates each side</x:v>
      </x:c>
      <x:c r="G62" s="170" t="n">
        <x:v>10</x:v>
      </x:c>
      <x:c r="H62" s="170"/>
      <x:c r="I62" s="170"/>
      <x:c r="J62" s="170"/>
      <x:c r="K62" s="170"/>
      <x:c r="L62" s="170" t="str">
        <x:v>Next: 10 kg/side × 11–12</x:v>
      </x:c>
      <x:c r="M62" s="170" t="str">
        <x:v>Not recorded</x:v>
      </x:c>
      <x:c r="N62" s="170" t="str">
        <x:v>Not recorded</x:v>
      </x:c>
    </x:row>
    <x:row r="63" ht="15" hidden="0" customHeight="1">
      <x:c r="A63" s="220" t="n">
        <x:v>46239</x:v>
      </x:c>
      <x:c r="B63" s="170" t="str">
        <x:v>Biceps</x:v>
      </x:c>
      <x:c r="C63" s="170" t="str">
        <x:v>Concentration Curl</x:v>
      </x:c>
      <x:c r="D63" s="170" t="n">
        <x:v>1</x:v>
      </x:c>
      <x:c r="E63" s="170" t="n">
        <x:v>5</x:v>
      </x:c>
      <x:c r="F63" s="170" t="str">
        <x:v>kg each dumbbell</x:v>
      </x:c>
      <x:c r="G63" s="170" t="n">
        <x:v>15</x:v>
      </x:c>
      <x:c r="H63" s="170"/>
      <x:c r="I63" s="170"/>
      <x:c r="J63" s="170"/>
      <x:c r="K63" s="170"/>
      <x:c r="L63" s="170"/>
      <x:c r="M63" s="170" t="str">
        <x:v>Not recorded</x:v>
      </x:c>
      <x:c r="N63" s="170" t="str">
        <x:v>Not recorded</x:v>
      </x:c>
    </x:row>
    <x:row r="64" ht="15" hidden="0" customHeight="1">
      <x:c r="A64" s="220" t="n">
        <x:v>46239</x:v>
      </x:c>
      <x:c r="B64" s="170" t="str">
        <x:v>Biceps</x:v>
      </x:c>
      <x:c r="C64" s="170" t="str">
        <x:v>Concentration Curl</x:v>
      </x:c>
      <x:c r="D64" s="170" t="n">
        <x:v>2</x:v>
      </x:c>
      <x:c r="E64" s="170" t="n">
        <x:v>7.5</x:v>
      </x:c>
      <x:c r="F64" s="170" t="str">
        <x:v>kg each dumbbell</x:v>
      </x:c>
      <x:c r="G64" s="170" t="n">
        <x:v>10</x:v>
      </x:c>
      <x:c r="H64" s="170"/>
      <x:c r="I64" s="170"/>
      <x:c r="J64" s="170"/>
      <x:c r="K64" s="170"/>
      <x:c r="L64" s="170"/>
      <x:c r="M64" s="170" t="str">
        <x:v>Not recorded</x:v>
      </x:c>
      <x:c r="N64" s="170" t="str">
        <x:v>Not recorded</x:v>
      </x:c>
    </x:row>
    <x:row r="65" ht="15" hidden="0" customHeight="1">
      <x:c r="A65" s="220" t="n">
        <x:v>46239</x:v>
      </x:c>
      <x:c r="B65" s="170" t="str">
        <x:v>Biceps</x:v>
      </x:c>
      <x:c r="C65" s="170" t="str">
        <x:v>Concentration Curl</x:v>
      </x:c>
      <x:c r="D65" s="170" t="n">
        <x:v>3</x:v>
      </x:c>
      <x:c r="E65" s="170" t="n">
        <x:v>10</x:v>
      </x:c>
      <x:c r="F65" s="170" t="str">
        <x:v>kg each dumbbell</x:v>
      </x:c>
      <x:c r="G65" s="170" t="n">
        <x:v>7</x:v>
      </x:c>
      <x:c r="H65" s="170"/>
      <x:c r="I65" s="170"/>
      <x:c r="J65" s="170"/>
      <x:c r="K65" s="170"/>
      <x:c r="L65" s="170" t="str">
        <x:v>Prioritize 7.5 kg × 11–12 clean</x:v>
      </x:c>
      <x:c r="M65" s="170" t="str">
        <x:v>Not recorded</x:v>
      </x:c>
      <x:c r="N65" s="170" t="str">
        <x:v>Not recorded</x:v>
      </x:c>
    </x:row>
    <x:row r="66" ht="15" hidden="0" customHeight="1">
      <x:c r="A66" s="220" t="n">
        <x:v>46240</x:v>
      </x:c>
      <x:c r="B66" s="170" t="str">
        <x:v>Legs</x:v>
      </x:c>
      <x:c r="C66" s="170" t="str">
        <x:v>Hack Squat</x:v>
      </x:c>
      <x:c r="D66" s="170" t="n">
        <x:v>1</x:v>
      </x:c>
      <x:c r="E66" s="170" t="n">
        <x:v>30</x:v>
      </x:c>
      <x:c r="F66" s="170" t="str">
        <x:v>kg plates each side</x:v>
      </x:c>
      <x:c r="G66" s="170" t="n">
        <x:v>15</x:v>
      </x:c>
      <x:c r="H66" s="170"/>
      <x:c r="I66" s="170"/>
      <x:c r="J66" s="170" t="str">
        <x:v>Medium</x:v>
      </x:c>
      <x:c r="K66" s="170" t="str">
        <x:v>Okay</x:v>
      </x:c>
      <x:c r="L66" s="170"/>
      <x:c r="M66" s="170" t="str">
        <x:v>Not recorded</x:v>
      </x:c>
      <x:c r="N66" s="170" t="str">
        <x:v>Not recorded</x:v>
      </x:c>
    </x:row>
    <x:row r="67" ht="15" hidden="0" customHeight="1">
      <x:c r="A67" s="220" t="n">
        <x:v>46240</x:v>
      </x:c>
      <x:c r="B67" s="170" t="str">
        <x:v>Legs</x:v>
      </x:c>
      <x:c r="C67" s="170" t="str">
        <x:v>Hack Squat</x:v>
      </x:c>
      <x:c r="D67" s="170" t="n">
        <x:v>2</x:v>
      </x:c>
      <x:c r="E67" s="170" t="n">
        <x:v>40</x:v>
      </x:c>
      <x:c r="F67" s="170" t="str">
        <x:v>kg plates each side</x:v>
      </x:c>
      <x:c r="G67" s="170" t="n">
        <x:v>12</x:v>
      </x:c>
      <x:c r="H67" s="170"/>
      <x:c r="I67" s="170"/>
      <x:c r="J67" s="170" t="str">
        <x:v>Medium</x:v>
      </x:c>
      <x:c r="K67" s="170" t="str">
        <x:v>Okay</x:v>
      </x:c>
      <x:c r="L67" s="170"/>
      <x:c r="M67" s="170" t="str">
        <x:v>Not recorded</x:v>
      </x:c>
      <x:c r="N67" s="170" t="str">
        <x:v>Not recorded</x:v>
      </x:c>
    </x:row>
    <x:row r="68" ht="15" hidden="0" customHeight="1">
      <x:c r="A68" s="220" t="n">
        <x:v>46240</x:v>
      </x:c>
      <x:c r="B68" s="170" t="str">
        <x:v>Legs</x:v>
      </x:c>
      <x:c r="C68" s="170" t="str">
        <x:v>Hack Squat</x:v>
      </x:c>
      <x:c r="D68" s="170" t="n">
        <x:v>3</x:v>
      </x:c>
      <x:c r="E68" s="170" t="n">
        <x:v>50</x:v>
      </x:c>
      <x:c r="F68" s="170" t="str">
        <x:v>kg plates each side</x:v>
      </x:c>
      <x:c r="G68" s="170" t="n">
        <x:v>10</x:v>
      </x:c>
      <x:c r="H68" s="170"/>
      <x:c r="I68" s="170"/>
      <x:c r="J68" s="170" t="str">
        <x:v>Medium</x:v>
      </x:c>
      <x:c r="K68" s="170" t="str">
        <x:v>Okay</x:v>
      </x:c>
      <x:c r="L68" s="170"/>
      <x:c r="M68" s="170" t="str">
        <x:v>Not recorded</x:v>
      </x:c>
      <x:c r="N68" s="170" t="str">
        <x:v>Not recorded</x:v>
      </x:c>
    </x:row>
    <x:row r="69" ht="15" hidden="0" customHeight="1">
      <x:c r="A69" s="220" t="n">
        <x:v>46240</x:v>
      </x:c>
      <x:c r="B69" s="170" t="str">
        <x:v>Legs</x:v>
      </x:c>
      <x:c r="C69" s="170" t="str">
        <x:v>Hack Squat</x:v>
      </x:c>
      <x:c r="D69" s="170" t="n">
        <x:v>4</x:v>
      </x:c>
      <x:c r="E69" s="170" t="n">
        <x:v>60</x:v>
      </x:c>
      <x:c r="F69" s="170" t="str">
        <x:v>kg plates each side</x:v>
      </x:c>
      <x:c r="G69" s="170" t="n">
        <x:v>9</x:v>
      </x:c>
      <x:c r="H69" s="170"/>
      <x:c r="I69" s="170"/>
      <x:c r="J69" s="170" t="str">
        <x:v>Medium</x:v>
      </x:c>
      <x:c r="K69" s="170" t="str">
        <x:v>Okay</x:v>
      </x:c>
      <x:c r="L69" s="170" t="str">
        <x:v>Next: 60 kg/side × 10 clean</x:v>
      </x:c>
      <x:c r="M69" s="170" t="str">
        <x:v>Not recorded</x:v>
      </x:c>
      <x:c r="N69" s="170" t="str">
        <x:v>Not recorded</x:v>
      </x:c>
    </x:row>
    <x:row r="70" ht="26.399999618530273" hidden="0" customHeight="1">
      <x:c r="A70" s="220" t="n">
        <x:v>46240</x:v>
      </x:c>
      <x:c r="B70" s="170" t="str">
        <x:v>Legs</x:v>
      </x:c>
      <x:c r="C70" s="170" t="str">
        <x:v>Leg Press</x:v>
      </x:c>
      <x:c r="D70" s="170" t="n">
        <x:v>1</x:v>
      </x:c>
      <x:c r="E70" s="170" t="n">
        <x:v>90</x:v>
      </x:c>
      <x:c r="F70" s="170" t="str">
        <x:v>kg total; 150 kg had slight elbow assistance</x:v>
      </x:c>
      <x:c r="G70" s="170" t="n">
        <x:v>15</x:v>
      </x:c>
      <x:c r="H70" s="170"/>
      <x:c r="I70" s="170"/>
      <x:c r="J70" s="170" t="str">
        <x:v>Medium</x:v>
      </x:c>
      <x:c r="K70" s="170" t="str">
        <x:v>Okay</x:v>
      </x:c>
      <x:c r="L70" s="170"/>
      <x:c r="M70" s="170" t="str">
        <x:v>Not recorded</x:v>
      </x:c>
      <x:c r="N70" s="170" t="str">
        <x:v>Not recorded</x:v>
      </x:c>
    </x:row>
    <x:row r="71" ht="26.399999618530273" hidden="0" customHeight="1">
      <x:c r="A71" s="220" t="n">
        <x:v>46240</x:v>
      </x:c>
      <x:c r="B71" s="170" t="str">
        <x:v>Legs</x:v>
      </x:c>
      <x:c r="C71" s="170" t="str">
        <x:v>Leg Press</x:v>
      </x:c>
      <x:c r="D71" s="170" t="n">
        <x:v>2</x:v>
      </x:c>
      <x:c r="E71" s="170" t="n">
        <x:v>110</x:v>
      </x:c>
      <x:c r="F71" s="170" t="str">
        <x:v>kg total; 150 kg had slight elbow assistance</x:v>
      </x:c>
      <x:c r="G71" s="170" t="n">
        <x:v>12</x:v>
      </x:c>
      <x:c r="H71" s="170"/>
      <x:c r="I71" s="170"/>
      <x:c r="J71" s="170" t="str">
        <x:v>Medium</x:v>
      </x:c>
      <x:c r="K71" s="170" t="str">
        <x:v>Okay</x:v>
      </x:c>
      <x:c r="L71" s="170"/>
      <x:c r="M71" s="170" t="str">
        <x:v>Not recorded</x:v>
      </x:c>
      <x:c r="N71" s="170" t="str">
        <x:v>Not recorded</x:v>
      </x:c>
    </x:row>
    <x:row r="72" ht="26.399999618530273" hidden="0" customHeight="1">
      <x:c r="A72" s="220" t="n">
        <x:v>46240</x:v>
      </x:c>
      <x:c r="B72" s="170" t="str">
        <x:v>Legs</x:v>
      </x:c>
      <x:c r="C72" s="170" t="str">
        <x:v>Leg Press</x:v>
      </x:c>
      <x:c r="D72" s="170" t="n">
        <x:v>3</x:v>
      </x:c>
      <x:c r="E72" s="170" t="n">
        <x:v>130</x:v>
      </x:c>
      <x:c r="F72" s="170" t="str">
        <x:v>kg total; 150 kg had slight elbow assistance</x:v>
      </x:c>
      <x:c r="G72" s="170" t="n">
        <x:v>10</x:v>
      </x:c>
      <x:c r="H72" s="170"/>
      <x:c r="I72" s="170"/>
      <x:c r="J72" s="170" t="str">
        <x:v>Medium</x:v>
      </x:c>
      <x:c r="K72" s="170" t="str">
        <x:v>Okay</x:v>
      </x:c>
      <x:c r="L72" s="170"/>
      <x:c r="M72" s="170" t="str">
        <x:v>Not recorded</x:v>
      </x:c>
      <x:c r="N72" s="170" t="str">
        <x:v>Not recorded</x:v>
      </x:c>
    </x:row>
    <x:row r="73" ht="26.399999618530273" hidden="0" customHeight="1">
      <x:c r="A73" s="220" t="n">
        <x:v>46240</x:v>
      </x:c>
      <x:c r="B73" s="170" t="str">
        <x:v>Legs</x:v>
      </x:c>
      <x:c r="C73" s="170" t="str">
        <x:v>Leg Press</x:v>
      </x:c>
      <x:c r="D73" s="170" t="n">
        <x:v>4</x:v>
      </x:c>
      <x:c r="E73" s="170" t="n">
        <x:v>150</x:v>
      </x:c>
      <x:c r="F73" s="170" t="str">
        <x:v>kg total; 150 kg had slight elbow assistance</x:v>
      </x:c>
      <x:c r="G73" s="170" t="n">
        <x:v>8</x:v>
      </x:c>
      <x:c r="H73" s="170"/>
      <x:c r="I73" s="170"/>
      <x:c r="J73" s="170" t="str">
        <x:v>Medium</x:v>
      </x:c>
      <x:c r="K73" s="170" t="str">
        <x:v>Okay</x:v>
      </x:c>
      <x:c r="L73" s="170" t="str">
        <x:v>Next: 150 kg × 9–10 unassisted</x:v>
      </x:c>
      <x:c r="M73" s="170" t="str">
        <x:v>Not recorded</x:v>
      </x:c>
      <x:c r="N73" s="170" t="str">
        <x:v>Not recorded</x:v>
      </x:c>
    </x:row>
    <x:row r="74" ht="15" hidden="0" customHeight="1">
      <x:c r="A74" s="220" t="n">
        <x:v>46240</x:v>
      </x:c>
      <x:c r="B74" s="170" t="str">
        <x:v>Legs</x:v>
      </x:c>
      <x:c r="C74" s="170" t="str">
        <x:v>Leg Extension</x:v>
      </x:c>
      <x:c r="D74" s="170" t="n">
        <x:v>1</x:v>
      </x:c>
      <x:c r="E74" s="170" t="n">
        <x:v>35</x:v>
      </x:c>
      <x:c r="F74" s="170" t="str">
        <x:v>kg total</x:v>
      </x:c>
      <x:c r="G74" s="170" t="n">
        <x:v>15</x:v>
      </x:c>
      <x:c r="H74" s="170"/>
      <x:c r="I74" s="170"/>
      <x:c r="J74" s="170" t="str">
        <x:v>Medium</x:v>
      </x:c>
      <x:c r="K74" s="170" t="str">
        <x:v>Okay</x:v>
      </x:c>
      <x:c r="L74" s="170"/>
      <x:c r="M74" s="170" t="str">
        <x:v>Not recorded</x:v>
      </x:c>
      <x:c r="N74" s="170" t="str">
        <x:v>Not recorded</x:v>
      </x:c>
    </x:row>
    <x:row r="75" ht="15" hidden="0" customHeight="1">
      <x:c r="A75" s="220" t="n">
        <x:v>46240</x:v>
      </x:c>
      <x:c r="B75" s="170" t="str">
        <x:v>Legs</x:v>
      </x:c>
      <x:c r="C75" s="170" t="str">
        <x:v>Leg Extension</x:v>
      </x:c>
      <x:c r="D75" s="170" t="n">
        <x:v>2</x:v>
      </x:c>
      <x:c r="E75" s="170" t="n">
        <x:v>40</x:v>
      </x:c>
      <x:c r="F75" s="170" t="str">
        <x:v>kg total</x:v>
      </x:c>
      <x:c r="G75" s="170" t="n">
        <x:v>12</x:v>
      </x:c>
      <x:c r="H75" s="170"/>
      <x:c r="I75" s="170"/>
      <x:c r="J75" s="170" t="str">
        <x:v>Medium</x:v>
      </x:c>
      <x:c r="K75" s="170" t="str">
        <x:v>Okay</x:v>
      </x:c>
      <x:c r="L75" s="170"/>
      <x:c r="M75" s="170" t="str">
        <x:v>Not recorded</x:v>
      </x:c>
      <x:c r="N75" s="170" t="str">
        <x:v>Not recorded</x:v>
      </x:c>
    </x:row>
    <x:row r="76" ht="15" hidden="0" customHeight="1">
      <x:c r="A76" s="220" t="n">
        <x:v>46240</x:v>
      </x:c>
      <x:c r="B76" s="170" t="str">
        <x:v>Legs</x:v>
      </x:c>
      <x:c r="C76" s="170" t="str">
        <x:v>Leg Extension</x:v>
      </x:c>
      <x:c r="D76" s="170" t="n">
        <x:v>3</x:v>
      </x:c>
      <x:c r="E76" s="170" t="n">
        <x:v>45</x:v>
      </x:c>
      <x:c r="F76" s="170" t="str">
        <x:v>kg total</x:v>
      </x:c>
      <x:c r="G76" s="170" t="n">
        <x:v>10</x:v>
      </x:c>
      <x:c r="H76" s="170"/>
      <x:c r="I76" s="170"/>
      <x:c r="J76" s="170" t="str">
        <x:v>Medium</x:v>
      </x:c>
      <x:c r="K76" s="170" t="str">
        <x:v>Okay</x:v>
      </x:c>
      <x:c r="L76" s="170"/>
      <x:c r="M76" s="170" t="str">
        <x:v>Not recorded</x:v>
      </x:c>
      <x:c r="N76" s="170" t="str">
        <x:v>Not recorded</x:v>
      </x:c>
    </x:row>
    <x:row r="77" ht="15" hidden="0" customHeight="1">
      <x:c r="A77" s="220" t="n">
        <x:v>46240</x:v>
      </x:c>
      <x:c r="B77" s="170" t="str">
        <x:v>Legs</x:v>
      </x:c>
      <x:c r="C77" s="170" t="str">
        <x:v>Leg Extension</x:v>
      </x:c>
      <x:c r="D77" s="170" t="n">
        <x:v>4</x:v>
      </x:c>
      <x:c r="E77" s="170" t="n">
        <x:v>50</x:v>
      </x:c>
      <x:c r="F77" s="170" t="str">
        <x:v>kg total</x:v>
      </x:c>
      <x:c r="G77" s="170" t="n">
        <x:v>8</x:v>
      </x:c>
      <x:c r="H77" s="170"/>
      <x:c r="I77" s="170"/>
      <x:c r="J77" s="170" t="str">
        <x:v>Medium</x:v>
      </x:c>
      <x:c r="K77" s="170" t="str">
        <x:v>Okay</x:v>
      </x:c>
      <x:c r="L77" s="170" t="str">
        <x:v>Next: 50 kg × 9–10</x:v>
      </x:c>
      <x:c r="M77" s="170" t="str">
        <x:v>Not recorded</x:v>
      </x:c>
      <x:c r="N77" s="170" t="str">
        <x:v>Not recorded</x:v>
      </x:c>
    </x:row>
    <x:row r="78" ht="15" hidden="0" customHeight="1">
      <x:c r="A78" s="220" t="n">
        <x:v>46240</x:v>
      </x:c>
      <x:c r="B78" s="170" t="str">
        <x:v>Legs</x:v>
      </x:c>
      <x:c r="C78" s="170" t="str">
        <x:v>Leg Curl</x:v>
      </x:c>
      <x:c r="D78" s="170" t="n">
        <x:v>1</x:v>
      </x:c>
      <x:c r="E78" s="170" t="n">
        <x:v>30</x:v>
      </x:c>
      <x:c r="F78" s="170" t="str">
        <x:v>kg; last 30 kg was drop set</x:v>
      </x:c>
      <x:c r="G78" s="170" t="n">
        <x:v>15</x:v>
      </x:c>
      <x:c r="H78" s="170"/>
      <x:c r="I78" s="170"/>
      <x:c r="J78" s="170" t="str">
        <x:v>Medium</x:v>
      </x:c>
      <x:c r="K78" s="170" t="str">
        <x:v>Okay</x:v>
      </x:c>
      <x:c r="L78" s="170"/>
      <x:c r="M78" s="170" t="str">
        <x:v>Not recorded</x:v>
      </x:c>
      <x:c r="N78" s="170" t="str">
        <x:v>Not recorded</x:v>
      </x:c>
    </x:row>
    <x:row r="79" ht="15" hidden="0" customHeight="1">
      <x:c r="A79" s="220" t="n">
        <x:v>46240</x:v>
      </x:c>
      <x:c r="B79" s="170" t="str">
        <x:v>Legs</x:v>
      </x:c>
      <x:c r="C79" s="170" t="str">
        <x:v>Leg Curl</x:v>
      </x:c>
      <x:c r="D79" s="170" t="n">
        <x:v>2</x:v>
      </x:c>
      <x:c r="E79" s="170" t="n">
        <x:v>35</x:v>
      </x:c>
      <x:c r="F79" s="170" t="str">
        <x:v>kg; last 30 kg was drop set</x:v>
      </x:c>
      <x:c r="G79" s="170" t="n">
        <x:v>10</x:v>
      </x:c>
      <x:c r="H79" s="170"/>
      <x:c r="I79" s="170"/>
      <x:c r="J79" s="170" t="str">
        <x:v>Medium</x:v>
      </x:c>
      <x:c r="K79" s="170" t="str">
        <x:v>Okay</x:v>
      </x:c>
      <x:c r="L79" s="170"/>
      <x:c r="M79" s="170" t="str">
        <x:v>Not recorded</x:v>
      </x:c>
      <x:c r="N79" s="170" t="str">
        <x:v>Not recorded</x:v>
      </x:c>
    </x:row>
    <x:row r="80" ht="15" hidden="0" customHeight="1">
      <x:c r="A80" s="220" t="n">
        <x:v>46240</x:v>
      </x:c>
      <x:c r="B80" s="170" t="str">
        <x:v>Legs</x:v>
      </x:c>
      <x:c r="C80" s="170" t="str">
        <x:v>Leg Curl</x:v>
      </x:c>
      <x:c r="D80" s="170" t="n">
        <x:v>3</x:v>
      </x:c>
      <x:c r="E80" s="170" t="n">
        <x:v>40</x:v>
      </x:c>
      <x:c r="F80" s="170" t="str">
        <x:v>kg; last 30 kg was drop set</x:v>
      </x:c>
      <x:c r="G80" s="170" t="n">
        <x:v>4</x:v>
      </x:c>
      <x:c r="H80" s="170"/>
      <x:c r="I80" s="170"/>
      <x:c r="J80" s="170" t="str">
        <x:v>Medium</x:v>
      </x:c>
      <x:c r="K80" s="170" t="str">
        <x:v>Okay</x:v>
      </x:c>
      <x:c r="L80" s="170"/>
      <x:c r="M80" s="170" t="str">
        <x:v>Not recorded</x:v>
      </x:c>
      <x:c r="N80" s="170" t="str">
        <x:v>Not recorded</x:v>
      </x:c>
    </x:row>
    <x:row r="81" ht="15" hidden="0" customHeight="1">
      <x:c r="A81" s="220" t="n">
        <x:v>46240</x:v>
      </x:c>
      <x:c r="B81" s="170" t="str">
        <x:v>Legs</x:v>
      </x:c>
      <x:c r="C81" s="170" t="str">
        <x:v>Leg Curl</x:v>
      </x:c>
      <x:c r="D81" s="170" t="n">
        <x:v>4</x:v>
      </x:c>
      <x:c r="E81" s="170" t="n">
        <x:v>30</x:v>
      </x:c>
      <x:c r="F81" s="170" t="str">
        <x:v>kg; last 30 kg was drop set</x:v>
      </x:c>
      <x:c r="G81" s="170" t="n">
        <x:v>4</x:v>
      </x:c>
      <x:c r="H81" s="170"/>
      <x:c r="I81" s="170"/>
      <x:c r="J81" s="170" t="str">
        <x:v>Medium</x:v>
      </x:c>
      <x:c r="K81" s="170" t="str">
        <x:v>Okay</x:v>
      </x:c>
      <x:c r="L81" s="170" t="str">
        <x:v>40 kg too heavy; next 35 kg × 12</x:v>
      </x:c>
      <x:c r="M81" s="170" t="str">
        <x:v>Not recorded</x:v>
      </x:c>
      <x:c r="N81" s="170" t="str">
        <x:v>Not recorded</x:v>
      </x:c>
    </x:row>
    <x:row r="82" ht="15" hidden="0" customHeight="1">
      <x:c r="A82" s="220" t="n">
        <x:v>46240</x:v>
      </x:c>
      <x:c r="B82" s="170" t="str">
        <x:v>Legs</x:v>
      </x:c>
      <x:c r="C82" s="170" t="str">
        <x:v>Abductor Machine</x:v>
      </x:c>
      <x:c r="D82" s="170" t="n">
        <x:v>1</x:v>
      </x:c>
      <x:c r="E82" s="170" t="n">
        <x:v>40</x:v>
      </x:c>
      <x:c r="F82" s="170" t="str">
        <x:v>kg</x:v>
      </x:c>
      <x:c r="G82" s="170" t="n">
        <x:v>15</x:v>
      </x:c>
      <x:c r="H82" s="170"/>
      <x:c r="I82" s="170"/>
      <x:c r="J82" s="170" t="str">
        <x:v>Medium</x:v>
      </x:c>
      <x:c r="K82" s="170" t="str">
        <x:v>Okay</x:v>
      </x:c>
      <x:c r="L82" s="170"/>
      <x:c r="M82" s="170" t="str">
        <x:v>Not recorded</x:v>
      </x:c>
      <x:c r="N82" s="170" t="str">
        <x:v>Not recorded</x:v>
      </x:c>
    </x:row>
    <x:row r="83" ht="15" hidden="0" customHeight="1">
      <x:c r="A83" s="220" t="n">
        <x:v>46240</x:v>
      </x:c>
      <x:c r="B83" s="170" t="str">
        <x:v>Legs</x:v>
      </x:c>
      <x:c r="C83" s="170" t="str">
        <x:v>Abductor Machine</x:v>
      </x:c>
      <x:c r="D83" s="170" t="n">
        <x:v>2</x:v>
      </x:c>
      <x:c r="E83" s="170" t="n">
        <x:v>50</x:v>
      </x:c>
      <x:c r="F83" s="170" t="str">
        <x:v>kg</x:v>
      </x:c>
      <x:c r="G83" s="170" t="n">
        <x:v>12</x:v>
      </x:c>
      <x:c r="H83" s="170"/>
      <x:c r="I83" s="170"/>
      <x:c r="J83" s="170" t="str">
        <x:v>Medium</x:v>
      </x:c>
      <x:c r="K83" s="170" t="str">
        <x:v>Okay</x:v>
      </x:c>
      <x:c r="L83" s="170"/>
      <x:c r="M83" s="170" t="str">
        <x:v>Not recorded</x:v>
      </x:c>
      <x:c r="N83" s="170" t="str">
        <x:v>Not recorded</x:v>
      </x:c>
    </x:row>
    <x:row r="84" ht="15" hidden="0" customHeight="1">
      <x:c r="A84" s="220" t="n">
        <x:v>46240</x:v>
      </x:c>
      <x:c r="B84" s="170" t="str">
        <x:v>Legs</x:v>
      </x:c>
      <x:c r="C84" s="170" t="str">
        <x:v>Abductor Machine</x:v>
      </x:c>
      <x:c r="D84" s="170" t="n">
        <x:v>3</x:v>
      </x:c>
      <x:c r="E84" s="170" t="n">
        <x:v>60</x:v>
      </x:c>
      <x:c r="F84" s="170" t="str">
        <x:v>kg</x:v>
      </x:c>
      <x:c r="G84" s="170" t="n">
        <x:v>10</x:v>
      </x:c>
      <x:c r="H84" s="170"/>
      <x:c r="I84" s="170"/>
      <x:c r="J84" s="170" t="str">
        <x:v>Medium</x:v>
      </x:c>
      <x:c r="K84" s="170" t="str">
        <x:v>Okay</x:v>
      </x:c>
      <x:c r="L84" s="170" t="str">
        <x:v>Next: 60 kg × 11–12</x:v>
      </x:c>
      <x:c r="M84" s="170" t="str">
        <x:v>Not recorded</x:v>
      </x:c>
      <x:c r="N84" s="170" t="str">
        <x:v>Not recorded</x:v>
      </x:c>
    </x:row>
    <x:row r="85" ht="15" hidden="0" customHeight="1">
      <x:c r="A85" s="220" t="n">
        <x:v>46240</x:v>
      </x:c>
      <x:c r="B85" s="170" t="str">
        <x:v>Legs</x:v>
      </x:c>
      <x:c r="C85" s="170" t="str">
        <x:v>Adductor Machine</x:v>
      </x:c>
      <x:c r="D85" s="170" t="n">
        <x:v>1</x:v>
      </x:c>
      <x:c r="E85" s="170" t="n">
        <x:v>40</x:v>
      </x:c>
      <x:c r="F85" s="170" t="str">
        <x:v>kg</x:v>
      </x:c>
      <x:c r="G85" s="170" t="n">
        <x:v>12</x:v>
      </x:c>
      <x:c r="H85" s="170"/>
      <x:c r="I85" s="170"/>
      <x:c r="J85" s="170" t="str">
        <x:v>Medium</x:v>
      </x:c>
      <x:c r="K85" s="170" t="str">
        <x:v>Okay</x:v>
      </x:c>
      <x:c r="L85" s="170"/>
      <x:c r="M85" s="170" t="str">
        <x:v>Not recorded</x:v>
      </x:c>
      <x:c r="N85" s="170" t="str">
        <x:v>Not recorded</x:v>
      </x:c>
    </x:row>
    <x:row r="86" ht="15" hidden="0" customHeight="1">
      <x:c r="A86" s="220" t="n">
        <x:v>46240</x:v>
      </x:c>
      <x:c r="B86" s="170" t="str">
        <x:v>Legs</x:v>
      </x:c>
      <x:c r="C86" s="170" t="str">
        <x:v>Adductor Machine</x:v>
      </x:c>
      <x:c r="D86" s="170" t="n">
        <x:v>2</x:v>
      </x:c>
      <x:c r="E86" s="170" t="n">
        <x:v>50</x:v>
      </x:c>
      <x:c r="F86" s="170" t="str">
        <x:v>kg</x:v>
      </x:c>
      <x:c r="G86" s="170" t="n">
        <x:v>8</x:v>
      </x:c>
      <x:c r="H86" s="170"/>
      <x:c r="I86" s="170"/>
      <x:c r="J86" s="170" t="str">
        <x:v>Medium</x:v>
      </x:c>
      <x:c r="K86" s="170" t="str">
        <x:v>Okay</x:v>
      </x:c>
      <x:c r="L86" s="170" t="str">
        <x:v>Build 40–45 kg to 10–12 clean reps</x:v>
      </x:c>
      <x:c r="M86" s="170" t="str">
        <x:v>Not recorded</x:v>
      </x:c>
      <x:c r="N86" s="170" t="str">
        <x:v>Not recorded</x:v>
      </x:c>
    </x:row>
    <x:row r="87" ht="15" hidden="0" customHeight="1">
      <x:c r="A87" s="220" t="n">
        <x:v>46240</x:v>
      </x:c>
      <x:c r="B87" s="170" t="str">
        <x:v>Legs</x:v>
      </x:c>
      <x:c r="C87" s="170" t="str">
        <x:v>Standing Calf Raise</x:v>
      </x:c>
      <x:c r="D87" s="170" t="n">
        <x:v>1</x:v>
      </x:c>
      <x:c r="E87" s="170" t="n">
        <x:v>0</x:v>
      </x:c>
      <x:c r="F87" s="170" t="str">
        <x:v>guided bar; added kg each side</x:v>
      </x:c>
      <x:c r="G87" s="170" t="n">
        <x:v>20</x:v>
      </x:c>
      <x:c r="H87" s="170"/>
      <x:c r="I87" s="170"/>
      <x:c r="J87" s="170" t="str">
        <x:v>Medium</x:v>
      </x:c>
      <x:c r="K87" s="170" t="str">
        <x:v>Okay</x:v>
      </x:c>
      <x:c r="L87" s="170"/>
      <x:c r="M87" s="170" t="str">
        <x:v>Not recorded</x:v>
      </x:c>
      <x:c r="N87" s="170" t="str">
        <x:v>Not recorded</x:v>
      </x:c>
    </x:row>
    <x:row r="88" ht="15" hidden="0" customHeight="1">
      <x:c r="A88" s="220" t="n">
        <x:v>46240</x:v>
      </x:c>
      <x:c r="B88" s="170" t="str">
        <x:v>Legs</x:v>
      </x:c>
      <x:c r="C88" s="170" t="str">
        <x:v>Standing Calf Raise</x:v>
      </x:c>
      <x:c r="D88" s="170" t="n">
        <x:v>2</x:v>
      </x:c>
      <x:c r="E88" s="170" t="n">
        <x:v>10</x:v>
      </x:c>
      <x:c r="F88" s="170" t="str">
        <x:v>guided bar; added kg each side</x:v>
      </x:c>
      <x:c r="G88" s="170" t="n">
        <x:v>18</x:v>
      </x:c>
      <x:c r="H88" s="170"/>
      <x:c r="I88" s="170"/>
      <x:c r="J88" s="170" t="str">
        <x:v>Medium</x:v>
      </x:c>
      <x:c r="K88" s="170" t="str">
        <x:v>Okay</x:v>
      </x:c>
      <x:c r="L88" s="170"/>
      <x:c r="M88" s="170" t="str">
        <x:v>Not recorded</x:v>
      </x:c>
      <x:c r="N88" s="170" t="str">
        <x:v>Not recorded</x:v>
      </x:c>
    </x:row>
    <x:row r="89" ht="15" hidden="0" customHeight="1">
      <x:c r="A89" s="220" t="n">
        <x:v>46240</x:v>
      </x:c>
      <x:c r="B89" s="170" t="str">
        <x:v>Legs</x:v>
      </x:c>
      <x:c r="C89" s="170" t="str">
        <x:v>Standing Calf Raise</x:v>
      </x:c>
      <x:c r="D89" s="170" t="n">
        <x:v>3</x:v>
      </x:c>
      <x:c r="E89" s="170" t="n">
        <x:v>20</x:v>
      </x:c>
      <x:c r="F89" s="170" t="str">
        <x:v>guided bar; added kg each side</x:v>
      </x:c>
      <x:c r="G89" s="170" t="n">
        <x:v>14</x:v>
      </x:c>
      <x:c r="H89" s="170"/>
      <x:c r="I89" s="170"/>
      <x:c r="J89" s="170" t="str">
        <x:v>Medium</x:v>
      </x:c>
      <x:c r="K89" s="170" t="str">
        <x:v>Okay</x:v>
      </x:c>
      <x:c r="L89" s="170" t="str">
        <x:v>Next: bar +20 kg/side × 15–16 clean</x:v>
      </x:c>
      <x:c r="M89" s="170" t="str">
        <x:v>Not recorded</x:v>
      </x:c>
      <x:c r="N89" s="170" t="str">
        <x:v>Not recorded</x:v>
      </x:c>
    </x:row>
    <x:row r="90" ht="39.599998474121094" hidden="0" customHeight="1">
      <x:c r="A90" s="220" t="n">
        <x:v>46241</x:v>
      </x:c>
      <x:c r="B90" s="170" t="str">
        <x:v>Shoulders</x:v>
      </x:c>
      <x:c r="C90" s="170" t="str">
        <x:v>Dumbbell Shoulder Press</x:v>
      </x:c>
      <x:c r="D90" s="170" t="n">
        <x:v>1</x:v>
      </x:c>
      <x:c r="E90" s="170" t="n">
        <x:v>15</x:v>
      </x:c>
      <x:c r="F90" s="170" t="str">
        <x:v>kg each dumbbell</x:v>
      </x:c>
      <x:c r="G90" s="170" t="n">
        <x:v>4</x:v>
      </x:c>
      <x:c r="H90" s="170" t="str">
        <x:v>User uses this as warm-up; no assisted repetitions</x:v>
      </x:c>
      <x:c r="I90" s="170" t="str">
        <x:v>No pain reported before, during, or after workout</x:v>
      </x:c>
      <x:c r="J90" s="170" t="str">
        <x:v>Medium pre; Low-Medium post</x:v>
      </x:c>
      <x:c r="K90" s="170" t="str">
        <x:v>Okay</x:v>
      </x:c>
      <x:c r="L90" s="170" t="str">
        <x:v>Use 10-12.5 kg x 10-12, then 15 kg x 6-8 as a more efficient warm-up next time</x:v>
      </x:c>
      <x:c r="M90" s="170" t="str">
        <x:v>Warm-up</x:v>
      </x:c>
      <x:c r="N90" s="170" t="str">
        <x:v>Not recorded</x:v>
      </x:c>
    </x:row>
    <x:row r="91" ht="39.599998474121094" hidden="0" customHeight="1">
      <x:c r="A91" s="220" t="n">
        <x:v>46241</x:v>
      </x:c>
      <x:c r="B91" s="170" t="str">
        <x:v>Shoulders</x:v>
      </x:c>
      <x:c r="C91" s="170" t="str">
        <x:v>Dumbbell Shoulder Press</x:v>
      </x:c>
      <x:c r="D91" s="170" t="n">
        <x:v>2</x:v>
      </x:c>
      <x:c r="E91" s="170" t="n">
        <x:v>17.5</x:v>
      </x:c>
      <x:c r="F91" s="170" t="str">
        <x:v>kg each dumbbell</x:v>
      </x:c>
      <x:c r="G91" s="170" t="n">
        <x:v>12</x:v>
      </x:c>
      <x:c r="H91" s="170" t="str">
        <x:v>No assisted repetitions; detailed form not recorded</x:v>
      </x:c>
      <x:c r="I91" s="170" t="str">
        <x:v>No pain reported before, during, or after workout</x:v>
      </x:c>
      <x:c r="J91" s="170" t="str">
        <x:v>Medium pre; Low-Medium post</x:v>
      </x:c>
      <x:c r="K91" s="170" t="str">
        <x:v>Okay</x:v>
      </x:c>
      <x:c r="L91" s="170"/>
      <x:c r="M91" s="170" t="str">
        <x:v>Working</x:v>
      </x:c>
      <x:c r="N91" s="170" t="str">
        <x:v>Not recorded</x:v>
      </x:c>
    </x:row>
    <x:row r="92" ht="39.599998474121094" hidden="0" customHeight="1">
      <x:c r="A92" s="220" t="n">
        <x:v>46241</x:v>
      </x:c>
      <x:c r="B92" s="170" t="str">
        <x:v>Shoulders</x:v>
      </x:c>
      <x:c r="C92" s="170" t="str">
        <x:v>Dumbbell Shoulder Press</x:v>
      </x:c>
      <x:c r="D92" s="170" t="n">
        <x:v>3</x:v>
      </x:c>
      <x:c r="E92" s="170" t="n">
        <x:v>20</x:v>
      </x:c>
      <x:c r="F92" s="170" t="str">
        <x:v>kg each dumbbell</x:v>
      </x:c>
      <x:c r="G92" s="170" t="n">
        <x:v>10</x:v>
      </x:c>
      <x:c r="H92" s="170" t="str">
        <x:v>No assisted repetitions; detailed form not recorded</x:v>
      </x:c>
      <x:c r="I92" s="170" t="str">
        <x:v>No pain reported before, during, or after workout</x:v>
      </x:c>
      <x:c r="J92" s="170" t="str">
        <x:v>Medium pre; Low-Medium post</x:v>
      </x:c>
      <x:c r="K92" s="170" t="str">
        <x:v>Okay</x:v>
      </x:c>
      <x:c r="L92" s="170"/>
      <x:c r="M92" s="170" t="str">
        <x:v>Working</x:v>
      </x:c>
      <x:c r="N92" s="170" t="str">
        <x:v>Not recorded</x:v>
      </x:c>
    </x:row>
    <x:row r="93" ht="39.599998474121094" hidden="0" customHeight="1">
      <x:c r="A93" s="220" t="n">
        <x:v>46241</x:v>
      </x:c>
      <x:c r="B93" s="170" t="str">
        <x:v>Shoulders</x:v>
      </x:c>
      <x:c r="C93" s="170" t="str">
        <x:v>Dumbbell Shoulder Press</x:v>
      </x:c>
      <x:c r="D93" s="170" t="n">
        <x:v>4</x:v>
      </x:c>
      <x:c r="E93" s="170" t="n">
        <x:v>22.5</x:v>
      </x:c>
      <x:c r="F93" s="170" t="str">
        <x:v>kg each dumbbell</x:v>
      </x:c>
      <x:c r="G93" s="170" t="n">
        <x:v>8</x:v>
      </x:c>
      <x:c r="H93" s="170" t="str">
        <x:v>No assisted repetitions; detailed form not recorded</x:v>
      </x:c>
      <x:c r="I93" s="170" t="str">
        <x:v>No pain reported before, during, or after workout</x:v>
      </x:c>
      <x:c r="J93" s="170" t="str">
        <x:v>Medium pre; Low-Medium post</x:v>
      </x:c>
      <x:c r="K93" s="170" t="str">
        <x:v>Okay</x:v>
      </x:c>
      <x:c r="L93" s="170" t="str">
        <x:v>RIR 0 baseline; next target 22.5 kg x 7-8 at RIR 1, with no heavier set</x:v>
      </x:c>
      <x:c r="M93" s="170" t="str">
        <x:v>Working</x:v>
      </x:c>
      <x:c r="N93" s="170" t="str">
        <x:v>0</x:v>
      </x:c>
    </x:row>
    <x:row r="94" ht="39.599998474121094" hidden="0" customHeight="1">
      <x:c r="A94" s="220" t="n">
        <x:v>46241</x:v>
      </x:c>
      <x:c r="B94" s="170" t="str">
        <x:v>Shoulders</x:v>
      </x:c>
      <x:c r="C94" s="170" t="str">
        <x:v>Dumbbell Lateral Raise</x:v>
      </x:c>
      <x:c r="D94" s="170" t="n">
        <x:v>1</x:v>
      </x:c>
      <x:c r="E94" s="170" t="n">
        <x:v>7.5</x:v>
      </x:c>
      <x:c r="F94" s="170" t="str">
        <x:v>kg each dumbbell</x:v>
      </x:c>
      <x:c r="G94" s="170" t="n">
        <x:v>15</x:v>
      </x:c>
      <x:c r="H94" s="170" t="str">
        <x:v>No assisted repetitions; detailed form not recorded</x:v>
      </x:c>
      <x:c r="I94" s="170" t="str">
        <x:v>No pain reported before, during, or after workout</x:v>
      </x:c>
      <x:c r="J94" s="170" t="str">
        <x:v>Medium pre; Low-Medium post</x:v>
      </x:c>
      <x:c r="K94" s="170" t="str">
        <x:v>Okay</x:v>
      </x:c>
      <x:c r="L94" s="170"/>
      <x:c r="M94" s="170" t="str">
        <x:v>Working</x:v>
      </x:c>
      <x:c r="N94" s="170" t="str">
        <x:v>0</x:v>
      </x:c>
    </x:row>
    <x:row r="95" ht="39.599998474121094" hidden="0" customHeight="1">
      <x:c r="A95" s="220" t="n">
        <x:v>46241</x:v>
      </x:c>
      <x:c r="B95" s="170" t="str">
        <x:v>Shoulders</x:v>
      </x:c>
      <x:c r="C95" s="170" t="str">
        <x:v>Dumbbell Lateral Raise</x:v>
      </x:c>
      <x:c r="D95" s="170" t="n">
        <x:v>2</x:v>
      </x:c>
      <x:c r="E95" s="170" t="n">
        <x:v>10</x:v>
      </x:c>
      <x:c r="F95" s="170" t="str">
        <x:v>kg each dumbbell</x:v>
      </x:c>
      <x:c r="G95" s="170" t="n">
        <x:v>12</x:v>
      </x:c>
      <x:c r="H95" s="170" t="str">
        <x:v>No assisted repetitions; detailed form not recorded</x:v>
      </x:c>
      <x:c r="I95" s="170" t="str">
        <x:v>No pain reported before, during, or after workout</x:v>
      </x:c>
      <x:c r="J95" s="170" t="str">
        <x:v>Medium pre; Low-Medium post</x:v>
      </x:c>
      <x:c r="K95" s="170" t="str">
        <x:v>Okay</x:v>
      </x:c>
      <x:c r="L95" s="170"/>
      <x:c r="M95" s="170" t="str">
        <x:v>Working</x:v>
      </x:c>
      <x:c r="N95" s="170" t="str">
        <x:v>0</x:v>
      </x:c>
    </x:row>
    <x:row r="96" ht="39.599998474121094" hidden="0" customHeight="1">
      <x:c r="A96" s="220" t="n">
        <x:v>46241</x:v>
      </x:c>
      <x:c r="B96" s="170" t="str">
        <x:v>Shoulders</x:v>
      </x:c>
      <x:c r="C96" s="170" t="str">
        <x:v>Dumbbell Lateral Raise</x:v>
      </x:c>
      <x:c r="D96" s="170" t="n">
        <x:v>3</x:v>
      </x:c>
      <x:c r="E96" s="170" t="n">
        <x:v>10</x:v>
      </x:c>
      <x:c r="F96" s="170" t="str">
        <x:v>kg each dumbbell</x:v>
      </x:c>
      <x:c r="G96" s="170" t="n">
        <x:v>12</x:v>
      </x:c>
      <x:c r="H96" s="170" t="str">
        <x:v>No assisted repetitions; detailed form not recorded</x:v>
      </x:c>
      <x:c r="I96" s="170" t="str">
        <x:v>No pain reported before, during, or after workout</x:v>
      </x:c>
      <x:c r="J96" s="170" t="str">
        <x:v>Medium pre; Low-Medium post</x:v>
      </x:c>
      <x:c r="K96" s="170" t="str">
        <x:v>Okay</x:v>
      </x:c>
      <x:c r="L96" s="170"/>
      <x:c r="M96" s="170" t="str">
        <x:v>Working</x:v>
      </x:c>
      <x:c r="N96" s="170" t="str">
        <x:v>0</x:v>
      </x:c>
    </x:row>
    <x:row r="97" ht="39.599998474121094" hidden="0" customHeight="1">
      <x:c r="A97" s="220" t="n">
        <x:v>46241</x:v>
      </x:c>
      <x:c r="B97" s="170" t="str">
        <x:v>Shoulders</x:v>
      </x:c>
      <x:c r="C97" s="170" t="str">
        <x:v>Dumbbell Lateral Raise</x:v>
      </x:c>
      <x:c r="D97" s="170" t="n">
        <x:v>4</x:v>
      </x:c>
      <x:c r="E97" s="170" t="n">
        <x:v>12.5</x:v>
      </x:c>
      <x:c r="F97" s="170" t="str">
        <x:v>kg each dumbbell</x:v>
      </x:c>
      <x:c r="G97" s="170" t="n">
        <x:v>8</x:v>
      </x:c>
      <x:c r="H97" s="170" t="str">
        <x:v>No assisted repetitions; detailed form not recorded</x:v>
      </x:c>
      <x:c r="I97" s="170" t="str">
        <x:v>No pain reported before, during, or after workout</x:v>
      </x:c>
      <x:c r="J97" s="170" t="str">
        <x:v>Medium pre; Low-Medium post</x:v>
      </x:c>
      <x:c r="K97" s="170" t="str">
        <x:v>Okay</x:v>
      </x:c>
      <x:c r="L97" s="170" t="str">
        <x:v>All four sets reached RIR 0; next target 7.5 kg for 3 x 12-15 at RIR 2 with strict tempo</x:v>
      </x:c>
      <x:c r="M97" s="170" t="str">
        <x:v>Working</x:v>
      </x:c>
      <x:c r="N97" s="170" t="str">
        <x:v>0</x:v>
      </x:c>
    </x:row>
    <x:row r="98" ht="39.599998474121094" hidden="0" customHeight="1">
      <x:c r="A98" s="220" t="n">
        <x:v>46241</x:v>
      </x:c>
      <x:c r="B98" s="170" t="str">
        <x:v>Shoulders</x:v>
      </x:c>
      <x:c r="C98" s="170" t="str">
        <x:v>Face Pull</x:v>
      </x:c>
      <x:c r="D98" s="170" t="n">
        <x:v>1</x:v>
      </x:c>
      <x:c r="E98" s="170" t="n">
        <x:v>30</x:v>
      </x:c>
      <x:c r="F98" s="170" t="str">
        <x:v>kg total cable stack</x:v>
      </x:c>
      <x:c r="G98" s="170" t="n">
        <x:v>15</x:v>
      </x:c>
      <x:c r="H98" s="170" t="str">
        <x:v>No assisted repetitions; detailed form not recorded</x:v>
      </x:c>
      <x:c r="I98" s="170" t="str">
        <x:v>No pain reported before, during, or after workout</x:v>
      </x:c>
      <x:c r="J98" s="170" t="str">
        <x:v>Medium pre; Low-Medium post</x:v>
      </x:c>
      <x:c r="K98" s="170" t="str">
        <x:v>Okay</x:v>
      </x:c>
      <x:c r="L98" s="170"/>
      <x:c r="M98" s="170" t="str">
        <x:v>Working</x:v>
      </x:c>
      <x:c r="N98" s="170" t="str">
        <x:v>2</x:v>
      </x:c>
    </x:row>
    <x:row r="99" ht="39.599998474121094" hidden="0" customHeight="1">
      <x:c r="A99" s="220" t="n">
        <x:v>46241</x:v>
      </x:c>
      <x:c r="B99" s="170" t="str">
        <x:v>Shoulders</x:v>
      </x:c>
      <x:c r="C99" s="170" t="str">
        <x:v>Face Pull</x:v>
      </x:c>
      <x:c r="D99" s="170" t="n">
        <x:v>2</x:v>
      </x:c>
      <x:c r="E99" s="170" t="n">
        <x:v>40</x:v>
      </x:c>
      <x:c r="F99" s="170" t="str">
        <x:v>kg total cable stack</x:v>
      </x:c>
      <x:c r="G99" s="170" t="n">
        <x:v>12</x:v>
      </x:c>
      <x:c r="H99" s="170" t="str">
        <x:v>No assisted repetitions; detailed form not recorded</x:v>
      </x:c>
      <x:c r="I99" s="170" t="str">
        <x:v>No pain reported before, during, or after workout</x:v>
      </x:c>
      <x:c r="J99" s="170" t="str">
        <x:v>Medium pre; Low-Medium post</x:v>
      </x:c>
      <x:c r="K99" s="170" t="str">
        <x:v>Okay</x:v>
      </x:c>
      <x:c r="L99" s="170"/>
      <x:c r="M99" s="170" t="str">
        <x:v>Working</x:v>
      </x:c>
      <x:c r="N99" s="170" t="str">
        <x:v>1</x:v>
      </x:c>
    </x:row>
    <x:row r="100" ht="39.599998474121094" hidden="0" customHeight="1">
      <x:c r="A100" s="220" t="n">
        <x:v>46241</x:v>
      </x:c>
      <x:c r="B100" s="170" t="str">
        <x:v>Shoulders</x:v>
      </x:c>
      <x:c r="C100" s="170" t="str">
        <x:v>Face Pull</x:v>
      </x:c>
      <x:c r="D100" s="170" t="n">
        <x:v>3</x:v>
      </x:c>
      <x:c r="E100" s="170" t="n">
        <x:v>45</x:v>
      </x:c>
      <x:c r="F100" s="170" t="str">
        <x:v>kg total cable stack</x:v>
      </x:c>
      <x:c r="G100" s="170" t="n">
        <x:v>10</x:v>
      </x:c>
      <x:c r="H100" s="170" t="str">
        <x:v>No assisted repetitions; detailed form not recorded</x:v>
      </x:c>
      <x:c r="I100" s="170" t="str">
        <x:v>No pain reported before, during, or after workout</x:v>
      </x:c>
      <x:c r="J100" s="170" t="str">
        <x:v>Medium pre; Low-Medium post</x:v>
      </x:c>
      <x:c r="K100" s="170" t="str">
        <x:v>Okay</x:v>
      </x:c>
      <x:c r="L100" s="170" t="str">
        <x:v>Next target 40 kg x 13-15 at RIR 2; use 45 kg only with clean eye/forehead rope path and no lean-back</x:v>
      </x:c>
      <x:c r="M100" s="170" t="str">
        <x:v>Working</x:v>
      </x:c>
      <x:c r="N100" s="170" t="str">
        <x:v>2</x:v>
      </x:c>
    </x:row>
    <x:row r="101" ht="39.599998474121094" hidden="0" customHeight="1">
      <x:c r="A101" s="220" t="n">
        <x:v>46241</x:v>
      </x:c>
      <x:c r="B101" s="170" t="str">
        <x:v>Shoulders</x:v>
      </x:c>
      <x:c r="C101" s="170" t="str">
        <x:v>Reverse Pec Deck</x:v>
      </x:c>
      <x:c r="D101" s="170" t="n">
        <x:v>1</x:v>
      </x:c>
      <x:c r="E101" s="170" t="n">
        <x:v>25</x:v>
      </x:c>
      <x:c r="F101" s="170" t="str">
        <x:v>kg total machine stack</x:v>
      </x:c>
      <x:c r="G101" s="170" t="n">
        <x:v>15</x:v>
      </x:c>
      <x:c r="H101" s="170" t="str">
        <x:v>No assisted repetitions; detailed form not recorded</x:v>
      </x:c>
      <x:c r="I101" s="170" t="str">
        <x:v>No pain reported before, during, or after workout</x:v>
      </x:c>
      <x:c r="J101" s="170" t="str">
        <x:v>Medium pre; Low-Medium post</x:v>
      </x:c>
      <x:c r="K101" s="170" t="str">
        <x:v>Okay</x:v>
      </x:c>
      <x:c r="L101" s="170"/>
      <x:c r="M101" s="170" t="str">
        <x:v>Working</x:v>
      </x:c>
      <x:c r="N101" s="170" t="str">
        <x:v>2</x:v>
      </x:c>
    </x:row>
    <x:row r="102" ht="39.599998474121094" hidden="0" customHeight="1">
      <x:c r="A102" s="220" t="n">
        <x:v>46241</x:v>
      </x:c>
      <x:c r="B102" s="170" t="str">
        <x:v>Shoulders</x:v>
      </x:c>
      <x:c r="C102" s="170" t="str">
        <x:v>Reverse Pec Deck</x:v>
      </x:c>
      <x:c r="D102" s="170" t="n">
        <x:v>2</x:v>
      </x:c>
      <x:c r="E102" s="170" t="n">
        <x:v>30</x:v>
      </x:c>
      <x:c r="F102" s="170" t="str">
        <x:v>kg total machine stack</x:v>
      </x:c>
      <x:c r="G102" s="170" t="n">
        <x:v>12</x:v>
      </x:c>
      <x:c r="H102" s="170" t="str">
        <x:v>No assisted repetitions; detailed form not recorded</x:v>
      </x:c>
      <x:c r="I102" s="170" t="str">
        <x:v>No pain reported before, during, or after workout</x:v>
      </x:c>
      <x:c r="J102" s="170" t="str">
        <x:v>Medium pre; Low-Medium post</x:v>
      </x:c>
      <x:c r="K102" s="170" t="str">
        <x:v>Okay</x:v>
      </x:c>
      <x:c r="L102" s="170"/>
      <x:c r="M102" s="170" t="str">
        <x:v>Working</x:v>
      </x:c>
      <x:c r="N102" s="170" t="str">
        <x:v>1</x:v>
      </x:c>
    </x:row>
    <x:row r="103" ht="39.599998474121094" hidden="0" customHeight="1">
      <x:c r="A103" s="220" t="n">
        <x:v>46241</x:v>
      </x:c>
      <x:c r="B103" s="170" t="str">
        <x:v>Shoulders</x:v>
      </x:c>
      <x:c r="C103" s="170" t="str">
        <x:v>Reverse Pec Deck</x:v>
      </x:c>
      <x:c r="D103" s="170" t="n">
        <x:v>3</x:v>
      </x:c>
      <x:c r="E103" s="170" t="n">
        <x:v>35</x:v>
      </x:c>
      <x:c r="F103" s="170" t="str">
        <x:v>kg total machine stack</x:v>
      </x:c>
      <x:c r="G103" s="170" t="n">
        <x:v>10</x:v>
      </x:c>
      <x:c r="H103" s="170" t="str">
        <x:v>No assisted repetitions; detailed form not recorded</x:v>
      </x:c>
      <x:c r="I103" s="170" t="str">
        <x:v>No pain reported before, during, or after workout</x:v>
      </x:c>
      <x:c r="J103" s="170" t="str">
        <x:v>Medium pre; Low-Medium post</x:v>
      </x:c>
      <x:c r="K103" s="170" t="str">
        <x:v>Okay</x:v>
      </x:c>
      <x:c r="L103" s="170" t="str">
        <x:v>Next target 30 kg x 13-15 at RIR 2; do not increase beyond 35 kg until 30 kg reaches 15 strict reps</x:v>
      </x:c>
      <x:c r="M103" s="170" t="str">
        <x:v>Working</x:v>
      </x:c>
      <x:c r="N103" s="170" t="str">
        <x:v>1</x:v>
      </x:c>
    </x:row>
    <x:row r="104" ht="39.599998474121094" hidden="0" customHeight="1">
      <x:c r="A104" s="220" t="n">
        <x:v>46241</x:v>
      </x:c>
      <x:c r="B104" s="170" t="str">
        <x:v>Shoulders</x:v>
      </x:c>
      <x:c r="C104" s="170" t="str">
        <x:v>Single-Arm Cable Lateral Raise</x:v>
      </x:c>
      <x:c r="D104" s="170" t="n">
        <x:v>1</x:v>
      </x:c>
      <x:c r="E104" s="170" t="n">
        <x:v>5</x:v>
      </x:c>
      <x:c r="F104" s="170" t="str">
        <x:v>kg total cable stack; each arm</x:v>
      </x:c>
      <x:c r="G104" s="170" t="n">
        <x:v>16</x:v>
      </x:c>
      <x:c r="H104" s="170" t="str">
        <x:v>Low-pulley single-arm lateral raise; reps each arm; no assisted repetitions</x:v>
      </x:c>
      <x:c r="I104" s="170" t="str">
        <x:v>No pain reported before, during, or after workout</x:v>
      </x:c>
      <x:c r="J104" s="170" t="str">
        <x:v>Medium pre; Low-Medium post</x:v>
      </x:c>
      <x:c r="K104" s="170" t="str">
        <x:v>Okay</x:v>
      </x:c>
      <x:c r="L104" s="170"/>
      <x:c r="M104" s="170" t="str">
        <x:v>Working</x:v>
      </x:c>
      <x:c r="N104" s="170" t="str">
        <x:v>2</x:v>
      </x:c>
    </x:row>
    <x:row r="105" ht="39.599998474121094" hidden="0" customHeight="1">
      <x:c r="A105" s="220" t="n">
        <x:v>46241</x:v>
      </x:c>
      <x:c r="B105" s="170" t="str">
        <x:v>Shoulders</x:v>
      </x:c>
      <x:c r="C105" s="170" t="str">
        <x:v>Single-Arm Cable Lateral Raise</x:v>
      </x:c>
      <x:c r="D105" s="170" t="n">
        <x:v>2</x:v>
      </x:c>
      <x:c r="E105" s="170" t="n">
        <x:v>10</x:v>
      </x:c>
      <x:c r="F105" s="170" t="str">
        <x:v>kg total cable stack; each arm</x:v>
      </x:c>
      <x:c r="G105" s="170" t="n">
        <x:v>10</x:v>
      </x:c>
      <x:c r="H105" s="170" t="str">
        <x:v>Low-pulley single-arm lateral raise; reps each arm; no assisted repetitions</x:v>
      </x:c>
      <x:c r="I105" s="170" t="str">
        <x:v>No pain reported before, during, or after workout</x:v>
      </x:c>
      <x:c r="J105" s="170" t="str">
        <x:v>Medium pre; Low-Medium post</x:v>
      </x:c>
      <x:c r="K105" s="170" t="str">
        <x:v>Okay</x:v>
      </x:c>
      <x:c r="L105" s="170"/>
      <x:c r="M105" s="170" t="str">
        <x:v>Working</x:v>
      </x:c>
      <x:c r="N105" s="170" t="str">
        <x:v>1</x:v>
      </x:c>
    </x:row>
    <x:row r="106" ht="39.599998474121094" hidden="0" customHeight="1">
      <x:c r="A106" s="220" t="n">
        <x:v>46241</x:v>
      </x:c>
      <x:c r="B106" s="170" t="str">
        <x:v>Shoulders</x:v>
      </x:c>
      <x:c r="C106" s="170" t="str">
        <x:v>Single-Arm Cable Lateral Raise</x:v>
      </x:c>
      <x:c r="D106" s="170" t="n">
        <x:v>3</x:v>
      </x:c>
      <x:c r="E106" s="170" t="n">
        <x:v>10</x:v>
      </x:c>
      <x:c r="F106" s="170" t="str">
        <x:v>kg total cable stack; each arm</x:v>
      </x:c>
      <x:c r="G106" s="170" t="n">
        <x:v>11</x:v>
      </x:c>
      <x:c r="H106" s="170" t="str">
        <x:v>Low-pulley single-arm lateral raise; reps each arm; no assisted repetitions</x:v>
      </x:c>
      <x:c r="I106" s="170" t="str">
        <x:v>No pain reported before, during, or after workout</x:v>
      </x:c>
      <x:c r="J106" s="170" t="str">
        <x:v>Medium pre; Low-Medium post</x:v>
      </x:c>
      <x:c r="K106" s="170" t="str">
        <x:v>Okay</x:v>
      </x:c>
      <x:c r="L106" s="170" t="str">
        <x:v>If 7.5 kg is available, target 12-15 reps at RIR 2; otherwise use 5 kg x 18-20 slow, then 10 kg x 8-10 without failure</x:v>
      </x:c>
      <x:c r="M106" s="170" t="str">
        <x:v>Working</x:v>
      </x:c>
      <x:c r="N106" s="170" t="str">
        <x:v>1</x:v>
      </x:c>
    </x:row>
    <x:row r="107" ht="39.599998474121094" hidden="0" customHeight="1">
      <x:c r="A107" s="220" t="n">
        <x:v>46241</x:v>
      </x:c>
      <x:c r="B107" s="170" t="str">
        <x:v>Shoulders</x:v>
      </x:c>
      <x:c r="C107" s="170" t="str">
        <x:v>Dumbbell Shrugs</x:v>
      </x:c>
      <x:c r="D107" s="170" t="n">
        <x:v>1</x:v>
      </x:c>
      <x:c r="E107" s="170" t="n">
        <x:v>25</x:v>
      </x:c>
      <x:c r="F107" s="170" t="str">
        <x:v>kg each dumbbell</x:v>
      </x:c>
      <x:c r="G107" s="170" t="n">
        <x:v>15</x:v>
      </x:c>
      <x:c r="H107" s="170" t="str">
        <x:v>No assisted repetitions; detailed form not recorded</x:v>
      </x:c>
      <x:c r="I107" s="170" t="str">
        <x:v>No pain reported before, during, or after workout</x:v>
      </x:c>
      <x:c r="J107" s="170" t="str">
        <x:v>Medium pre; Low-Medium post</x:v>
      </x:c>
      <x:c r="K107" s="170" t="str">
        <x:v>Okay</x:v>
      </x:c>
      <x:c r="L107" s="170"/>
      <x:c r="M107" s="170" t="str">
        <x:v>Working</x:v>
      </x:c>
      <x:c r="N107" s="170" t="str">
        <x:v>3</x:v>
      </x:c>
    </x:row>
    <x:row r="108" ht="39.599998474121094" hidden="0" customHeight="1">
      <x:c r="A108" s="220" t="n">
        <x:v>46241</x:v>
      </x:c>
      <x:c r="B108" s="170" t="str">
        <x:v>Shoulders</x:v>
      </x:c>
      <x:c r="C108" s="170" t="str">
        <x:v>Dumbbell Shrugs</x:v>
      </x:c>
      <x:c r="D108" s="170" t="n">
        <x:v>2</x:v>
      </x:c>
      <x:c r="E108" s="170" t="n">
        <x:v>30</x:v>
      </x:c>
      <x:c r="F108" s="170" t="str">
        <x:v>kg each dumbbell</x:v>
      </x:c>
      <x:c r="G108" s="170" t="n">
        <x:v>12</x:v>
      </x:c>
      <x:c r="H108" s="170" t="str">
        <x:v>No assisted repetitions; detailed form not recorded</x:v>
      </x:c>
      <x:c r="I108" s="170" t="str">
        <x:v>No pain reported before, during, or after workout</x:v>
      </x:c>
      <x:c r="J108" s="170" t="str">
        <x:v>Medium pre; Low-Medium post</x:v>
      </x:c>
      <x:c r="K108" s="170" t="str">
        <x:v>Okay</x:v>
      </x:c>
      <x:c r="L108" s="170"/>
      <x:c r="M108" s="170" t="str">
        <x:v>Working</x:v>
      </x:c>
      <x:c r="N108" s="170" t="str">
        <x:v>2</x:v>
      </x:c>
    </x:row>
    <x:row r="109" ht="39.599998474121094" hidden="0" customHeight="1">
      <x:c r="A109" s="220" t="n">
        <x:v>46241</x:v>
      </x:c>
      <x:c r="B109" s="170" t="str">
        <x:v>Shoulders</x:v>
      </x:c>
      <x:c r="C109" s="170" t="str">
        <x:v>Dumbbell Shrugs</x:v>
      </x:c>
      <x:c r="D109" s="170" t="n">
        <x:v>3</x:v>
      </x:c>
      <x:c r="E109" s="170" t="n">
        <x:v>40</x:v>
      </x:c>
      <x:c r="F109" s="170" t="str">
        <x:v>kg each dumbbell</x:v>
      </x:c>
      <x:c r="G109" s="170" t="n">
        <x:v>10</x:v>
      </x:c>
      <x:c r="H109" s="170" t="str">
        <x:v>No assisted repetitions; detailed form not recorded</x:v>
      </x:c>
      <x:c r="I109" s="170" t="str">
        <x:v>No pain reported before, during, or after workout</x:v>
      </x:c>
      <x:c r="J109" s="170" t="str">
        <x:v>Medium pre; Low-Medium post</x:v>
      </x:c>
      <x:c r="K109" s="170" t="str">
        <x:v>Okay</x:v>
      </x:c>
      <x:c r="L109" s="170" t="str">
        <x:v>Next target 40 kg each x 11-12 at RIR 1-2; shrug vertically, pause at top, and do not roll shoulders</x:v>
      </x:c>
      <x:c r="M109" s="170" t="str">
        <x:v>Working</x:v>
      </x:c>
      <x:c r="N109" s="170" t="str">
        <x:v>1</x:v>
      </x:c>
    </x:row>
    <x:row r="110" ht="39.599998474121094" hidden="0" customHeight="1">
      <x:c r="A110" s="220" t="n">
        <x:v>46242</x:v>
      </x:c>
      <x:c r="B110" s="170" t="str">
        <x:v>Triceps</x:v>
      </x:c>
      <x:c r="C110" s="170" t="str">
        <x:v>Straight-Bar Pushdown</x:v>
      </x:c>
      <x:c r="D110" s="170" t="n">
        <x:v>1</x:v>
      </x:c>
      <x:c r="E110" s="170" t="n">
        <x:v>45</x:v>
      </x:c>
      <x:c r="F110" s="170" t="str">
        <x:v>kg total cable stack</x:v>
      </x:c>
      <x:c r="G110" s="170" t="n">
        <x:v>16</x:v>
      </x:c>
      <x:c r="H110" s="170" t="str">
        <x:v>User-designated warm-up; RIR 2 made it relatively demanding; no forced reps</x:v>
      </x:c>
      <x:c r="I110" s="170" t="str">
        <x:v>No shoulder, elbow, lower-back or other pain reported</x:v>
      </x:c>
      <x:c r="J110" s="170" t="str">
        <x:v>Medium pre/post</x:v>
      </x:c>
      <x:c r="K110" s="170" t="str">
        <x:v>Excellent</x:v>
      </x:c>
      <x:c r="L110" s="170" t="str">
        <x:v>Use a lighter warm-up next time at about RIR 4</x:v>
      </x:c>
      <x:c r="M110" s="170" t="str">
        <x:v>Warm-up</x:v>
      </x:c>
      <x:c r="N110" s="170" t="str">
        <x:v>2</x:v>
      </x:c>
    </x:row>
    <x:row r="111" ht="26.399999618530273" hidden="0" customHeight="1">
      <x:c r="A111" s="220" t="n">
        <x:v>46242</x:v>
      </x:c>
      <x:c r="B111" s="170" t="str">
        <x:v>Triceps</x:v>
      </x:c>
      <x:c r="C111" s="170" t="str">
        <x:v>Straight-Bar Pushdown</x:v>
      </x:c>
      <x:c r="D111" s="170" t="n">
        <x:v>2</x:v>
      </x:c>
      <x:c r="E111" s="170" t="n">
        <x:v>50</x:v>
      </x:c>
      <x:c r="F111" s="170" t="str">
        <x:v>kg total cable stack</x:v>
      </x:c>
      <x:c r="G111" s="170" t="n">
        <x:v>14</x:v>
      </x:c>
      <x:c r="H111" s="170" t="str">
        <x:v>No forced repetitions; detailed form not recorded</x:v>
      </x:c>
      <x:c r="I111" s="170" t="str">
        <x:v>No shoulder, elbow, lower-back or other pain reported</x:v>
      </x:c>
      <x:c r="J111" s="170" t="str">
        <x:v>Medium pre/post</x:v>
      </x:c>
      <x:c r="K111" s="170" t="str">
        <x:v>Excellent</x:v>
      </x:c>
      <x:c r="L111" s="170"/>
      <x:c r="M111" s="170" t="str">
        <x:v>Working</x:v>
      </x:c>
      <x:c r="N111" s="170" t="str">
        <x:v>2</x:v>
      </x:c>
    </x:row>
    <x:row r="112" ht="26.399999618530273" hidden="0" customHeight="1">
      <x:c r="A112" s="220" t="n">
        <x:v>46242</x:v>
      </x:c>
      <x:c r="B112" s="170" t="str">
        <x:v>Triceps</x:v>
      </x:c>
      <x:c r="C112" s="170" t="str">
        <x:v>Straight-Bar Pushdown</x:v>
      </x:c>
      <x:c r="D112" s="170" t="n">
        <x:v>3</x:v>
      </x:c>
      <x:c r="E112" s="170" t="n">
        <x:v>55</x:v>
      </x:c>
      <x:c r="F112" s="170" t="str">
        <x:v>kg total cable stack</x:v>
      </x:c>
      <x:c r="G112" s="170" t="n">
        <x:v>12</x:v>
      </x:c>
      <x:c r="H112" s="170" t="str">
        <x:v>No forced repetitions; detailed form not recorded</x:v>
      </x:c>
      <x:c r="I112" s="170" t="str">
        <x:v>No shoulder, elbow, lower-back or other pain reported</x:v>
      </x:c>
      <x:c r="J112" s="170" t="str">
        <x:v>Medium pre/post</x:v>
      </x:c>
      <x:c r="K112" s="170" t="str">
        <x:v>Excellent</x:v>
      </x:c>
      <x:c r="L112" s="170"/>
      <x:c r="M112" s="170" t="str">
        <x:v>Working</x:v>
      </x:c>
      <x:c r="N112" s="170" t="str">
        <x:v>1</x:v>
      </x:c>
    </x:row>
    <x:row r="113" ht="26.399999618530273" hidden="0" customHeight="1">
      <x:c r="A113" s="220" t="n">
        <x:v>46242</x:v>
      </x:c>
      <x:c r="B113" s="170" t="str">
        <x:v>Triceps</x:v>
      </x:c>
      <x:c r="C113" s="170" t="str">
        <x:v>Straight-Bar Pushdown</x:v>
      </x:c>
      <x:c r="D113" s="170" t="n">
        <x:v>4</x:v>
      </x:c>
      <x:c r="E113" s="170" t="n">
        <x:v>60</x:v>
      </x:c>
      <x:c r="F113" s="170" t="str">
        <x:v>kg total cable stack</x:v>
      </x:c>
      <x:c r="G113" s="170" t="n">
        <x:v>9</x:v>
      </x:c>
      <x:c r="H113" s="170" t="str">
        <x:v>No forced repetitions; detailed form not recorded</x:v>
      </x:c>
      <x:c r="I113" s="170" t="str">
        <x:v>No shoulder, elbow, lower-back or other pain reported</x:v>
      </x:c>
      <x:c r="J113" s="170" t="str">
        <x:v>Medium pre/post</x:v>
      </x:c>
      <x:c r="K113" s="170" t="str">
        <x:v>Excellent</x:v>
      </x:c>
      <x:c r="L113" s="170" t="str">
        <x:v>Next target 55 kg x 13-14 at RIR 2 before progressing 60 kg</x:v>
      </x:c>
      <x:c r="M113" s="170" t="str">
        <x:v>Working</x:v>
      </x:c>
      <x:c r="N113" s="170" t="str">
        <x:v>1</x:v>
      </x:c>
    </x:row>
    <x:row r="114" ht="39.599998474121094" hidden="0" customHeight="1">
      <x:c r="A114" s="220" t="n">
        <x:v>46242</x:v>
      </x:c>
      <x:c r="B114" s="170" t="str">
        <x:v>Triceps</x:v>
      </x:c>
      <x:c r="C114" s="170" t="str">
        <x:v>Rope Pushdown</x:v>
      </x:c>
      <x:c r="D114" s="170" t="n">
        <x:v>1</x:v>
      </x:c>
      <x:c r="E114" s="170" t="n">
        <x:v>30</x:v>
      </x:c>
      <x:c r="F114" s="170" t="str">
        <x:v>kg total cable stack</x:v>
      </x:c>
      <x:c r="G114" s="170" t="n">
        <x:v>15</x:v>
      </x:c>
      <x:c r="H114" s="170" t="str">
        <x:v>User described this as warm-up cum working; RIR 2 indicates a working stimulus</x:v>
      </x:c>
      <x:c r="I114" s="170" t="str">
        <x:v>No shoulder, elbow, lower-back or other pain reported</x:v>
      </x:c>
      <x:c r="J114" s="170" t="str">
        <x:v>Medium pre/post</x:v>
      </x:c>
      <x:c r="K114" s="170" t="str">
        <x:v>Excellent</x:v>
      </x:c>
      <x:c r="L114" s="170"/>
      <x:c r="M114" s="170" t="str">
        <x:v>Working</x:v>
      </x:c>
      <x:c r="N114" s="170" t="str">
        <x:v>2</x:v>
      </x:c>
    </x:row>
    <x:row r="115" ht="26.399999618530273" hidden="0" customHeight="1">
      <x:c r="A115" s="220" t="n">
        <x:v>46242</x:v>
      </x:c>
      <x:c r="B115" s="170" t="str">
        <x:v>Triceps</x:v>
      </x:c>
      <x:c r="C115" s="170" t="str">
        <x:v>Rope Pushdown</x:v>
      </x:c>
      <x:c r="D115" s="170" t="n">
        <x:v>2</x:v>
      </x:c>
      <x:c r="E115" s="170" t="n">
        <x:v>35</x:v>
      </x:c>
      <x:c r="F115" s="170" t="str">
        <x:v>kg total cable stack</x:v>
      </x:c>
      <x:c r="G115" s="170" t="n">
        <x:v>12</x:v>
      </x:c>
      <x:c r="H115" s="170" t="str">
        <x:v>No forced repetitions; detailed form not recorded</x:v>
      </x:c>
      <x:c r="I115" s="170" t="str">
        <x:v>No shoulder, elbow, lower-back or other pain reported</x:v>
      </x:c>
      <x:c r="J115" s="170" t="str">
        <x:v>Medium pre/post</x:v>
      </x:c>
      <x:c r="K115" s="170" t="str">
        <x:v>Excellent</x:v>
      </x:c>
      <x:c r="L115" s="170"/>
      <x:c r="M115" s="170" t="str">
        <x:v>Working</x:v>
      </x:c>
      <x:c r="N115" s="170" t="str">
        <x:v>1</x:v>
      </x:c>
    </x:row>
    <x:row r="116" ht="26.399999618530273" hidden="0" customHeight="1">
      <x:c r="A116" s="220" t="n">
        <x:v>46242</x:v>
      </x:c>
      <x:c r="B116" s="170" t="str">
        <x:v>Triceps</x:v>
      </x:c>
      <x:c r="C116" s="170" t="str">
        <x:v>Rope Pushdown</x:v>
      </x:c>
      <x:c r="D116" s="170" t="n">
        <x:v>3</x:v>
      </x:c>
      <x:c r="E116" s="170" t="n">
        <x:v>40</x:v>
      </x:c>
      <x:c r="F116" s="170" t="str">
        <x:v>kg total cable stack</x:v>
      </x:c>
      <x:c r="G116" s="170" t="n">
        <x:v>10</x:v>
      </x:c>
      <x:c r="H116" s="170" t="str">
        <x:v>No forced repetitions; detailed form not recorded</x:v>
      </x:c>
      <x:c r="I116" s="170" t="str">
        <x:v>No shoulder, elbow, lower-back or other pain reported</x:v>
      </x:c>
      <x:c r="J116" s="170" t="str">
        <x:v>Medium pre/post</x:v>
      </x:c>
      <x:c r="K116" s="170" t="str">
        <x:v>Excellent</x:v>
      </x:c>
      <x:c r="L116" s="170"/>
      <x:c r="M116" s="170" t="str">
        <x:v>Working</x:v>
      </x:c>
      <x:c r="N116" s="170" t="str">
        <x:v>1</x:v>
      </x:c>
    </x:row>
    <x:row r="117" ht="26.399999618530273" hidden="0" customHeight="1">
      <x:c r="A117" s="220" t="n">
        <x:v>46242</x:v>
      </x:c>
      <x:c r="B117" s="170" t="str">
        <x:v>Triceps</x:v>
      </x:c>
      <x:c r="C117" s="170" t="str">
        <x:v>Rope Pushdown</x:v>
      </x:c>
      <x:c r="D117" s="170" t="n">
        <x:v>4</x:v>
      </x:c>
      <x:c r="E117" s="170" t="n">
        <x:v>45</x:v>
      </x:c>
      <x:c r="F117" s="170" t="str">
        <x:v>kg total cable stack</x:v>
      </x:c>
      <x:c r="G117" s="170" t="n">
        <x:v>8</x:v>
      </x:c>
      <x:c r="H117" s="170" t="str">
        <x:v>No forced repetitions; detailed form not recorded</x:v>
      </x:c>
      <x:c r="I117" s="170" t="str">
        <x:v>No shoulder, elbow, lower-back or other pain reported</x:v>
      </x:c>
      <x:c r="J117" s="170" t="str">
        <x:v>Medium pre/post</x:v>
      </x:c>
      <x:c r="K117" s="170" t="str">
        <x:v>Excellent</x:v>
      </x:c>
      <x:c r="L117" s="170" t="str">
        <x:v>Next target 40 kg x 11-12 at RIR 2; no fourth set next time</x:v>
      </x:c>
      <x:c r="M117" s="170" t="str">
        <x:v>Working</x:v>
      </x:c>
      <x:c r="N117" s="170" t="str">
        <x:v>1</x:v>
      </x:c>
    </x:row>
    <x:row r="118" ht="26.399999618530273" hidden="0" customHeight="1">
      <x:c r="A118" s="220" t="n">
        <x:v>46242</x:v>
      </x:c>
      <x:c r="B118" s="170" t="str">
        <x:v>Triceps</x:v>
      </x:c>
      <x:c r="C118" s="170" t="str">
        <x:v>Overhead Rope Extension</x:v>
      </x:c>
      <x:c r="D118" s="170" t="n">
        <x:v>1</x:v>
      </x:c>
      <x:c r="E118" s="170" t="n">
        <x:v>35</x:v>
      </x:c>
      <x:c r="F118" s="170" t="str">
        <x:v>kg total cable stack</x:v>
      </x:c>
      <x:c r="G118" s="170" t="n">
        <x:v>10</x:v>
      </x:c>
      <x:c r="H118" s="170" t="str">
        <x:v>No forced repetitions; detailed form not recorded</x:v>
      </x:c>
      <x:c r="I118" s="170" t="str">
        <x:v>No shoulder, elbow, lower-back or other pain reported</x:v>
      </x:c>
      <x:c r="J118" s="170" t="str">
        <x:v>Medium pre/post</x:v>
      </x:c>
      <x:c r="K118" s="170" t="str">
        <x:v>Excellent</x:v>
      </x:c>
      <x:c r="L118" s="170"/>
      <x:c r="M118" s="170" t="str">
        <x:v>Working</x:v>
      </x:c>
      <x:c r="N118" s="170" t="str">
        <x:v>1</x:v>
      </x:c>
    </x:row>
    <x:row r="119" ht="26.399999618530273" hidden="0" customHeight="1">
      <x:c r="A119" s="220" t="n">
        <x:v>46242</x:v>
      </x:c>
      <x:c r="B119" s="170" t="str">
        <x:v>Triceps</x:v>
      </x:c>
      <x:c r="C119" s="170" t="str">
        <x:v>Overhead Rope Extension</x:v>
      </x:c>
      <x:c r="D119" s="170" t="n">
        <x:v>2</x:v>
      </x:c>
      <x:c r="E119" s="170" t="n">
        <x:v>40</x:v>
      </x:c>
      <x:c r="F119" s="170" t="str">
        <x:v>kg total cable stack</x:v>
      </x:c>
      <x:c r="G119" s="170" t="n">
        <x:v>8</x:v>
      </x:c>
      <x:c r="H119" s="170" t="str">
        <x:v>No forced repetitions; detailed form not recorded</x:v>
      </x:c>
      <x:c r="I119" s="170" t="str">
        <x:v>No shoulder, elbow, lower-back or other pain reported</x:v>
      </x:c>
      <x:c r="J119" s="170" t="str">
        <x:v>Medium pre/post</x:v>
      </x:c>
      <x:c r="K119" s="170" t="str">
        <x:v>Excellent</x:v>
      </x:c>
      <x:c r="L119" s="170"/>
      <x:c r="M119" s="170" t="str">
        <x:v>Working</x:v>
      </x:c>
      <x:c r="N119" s="170" t="str">
        <x:v>1</x:v>
      </x:c>
    </x:row>
    <x:row r="120" ht="26.399999618530273" hidden="0" customHeight="1">
      <x:c r="A120" s="220" t="n">
        <x:v>46242</x:v>
      </x:c>
      <x:c r="B120" s="170" t="str">
        <x:v>Triceps</x:v>
      </x:c>
      <x:c r="C120" s="170" t="str">
        <x:v>Overhead Rope Extension</x:v>
      </x:c>
      <x:c r="D120" s="170" t="n">
        <x:v>3</x:v>
      </x:c>
      <x:c r="E120" s="170" t="str">
        <x:v>45 -&gt; 35</x:v>
      </x:c>
      <x:c r="F120" s="170" t="str">
        <x:v>kg total cable stack; intra-set drop</x:v>
      </x:c>
      <x:c r="G120" s="170" t="str">
        <x:v>3 + 8</x:v>
      </x:c>
      <x:c r="H120" s="170" t="str">
        <x:v>45 kg x 3 followed immediately by 35 kg x 8; RIR not reported</x:v>
      </x:c>
      <x:c r="I120" s="170" t="str">
        <x:v>No shoulder, elbow, lower-back or other pain reported</x:v>
      </x:c>
      <x:c r="J120" s="170" t="str">
        <x:v>Medium pre/post</x:v>
      </x:c>
      <x:c r="K120" s="170" t="str">
        <x:v>Excellent</x:v>
      </x:c>
      <x:c r="L120" s="170" t="str">
        <x:v>Load was too heavy; next target 30-35 kg x 12-15 at RIR 2 with no drop set</x:v>
      </x:c>
      <x:c r="M120" s="170" t="str">
        <x:v>Drop set</x:v>
      </x:c>
      <x:c r="N120" s="170" t="str">
        <x:v>Not recorded</x:v>
      </x:c>
    </x:row>
    <x:row r="121" ht="26.399999618530273" hidden="0" customHeight="1">
      <x:c r="A121" s="220" t="n">
        <x:v>46242</x:v>
      </x:c>
      <x:c r="B121" s="170" t="str">
        <x:v>Triceps</x:v>
      </x:c>
      <x:c r="C121" s="170" t="str">
        <x:v>Single-Arm Cable Pushdown</x:v>
      </x:c>
      <x:c r="D121" s="170" t="n">
        <x:v>1</x:v>
      </x:c>
      <x:c r="E121" s="170" t="n">
        <x:v>10</x:v>
      </x:c>
      <x:c r="F121" s="170" t="str">
        <x:v>kg total cable stack; each arm</x:v>
      </x:c>
      <x:c r="G121" s="170" t="n">
        <x:v>15</x:v>
      </x:c>
      <x:c r="H121" s="170" t="str">
        <x:v>Both arms matched; reps listed per arm; no forced repetitions</x:v>
      </x:c>
      <x:c r="I121" s="170" t="str">
        <x:v>No shoulder, elbow, lower-back or other pain reported</x:v>
      </x:c>
      <x:c r="J121" s="170" t="str">
        <x:v>Medium pre/post</x:v>
      </x:c>
      <x:c r="K121" s="170" t="str">
        <x:v>Excellent</x:v>
      </x:c>
      <x:c r="L121" s="170"/>
      <x:c r="M121" s="170" t="str">
        <x:v>Working</x:v>
      </x:c>
      <x:c r="N121" s="170" t="str">
        <x:v>1</x:v>
      </x:c>
    </x:row>
    <x:row r="122" ht="26.399999618530273" hidden="0" customHeight="1">
      <x:c r="A122" s="220" t="n">
        <x:v>46242</x:v>
      </x:c>
      <x:c r="B122" s="170" t="str">
        <x:v>Triceps</x:v>
      </x:c>
      <x:c r="C122" s="170" t="str">
        <x:v>Single-Arm Cable Pushdown</x:v>
      </x:c>
      <x:c r="D122" s="170" t="n">
        <x:v>2</x:v>
      </x:c>
      <x:c r="E122" s="170" t="n">
        <x:v>15</x:v>
      </x:c>
      <x:c r="F122" s="170" t="str">
        <x:v>kg total cable stack; each arm</x:v>
      </x:c>
      <x:c r="G122" s="170" t="n">
        <x:v>10</x:v>
      </x:c>
      <x:c r="H122" s="170" t="str">
        <x:v>Both arms matched; reps listed per arm; no forced repetitions</x:v>
      </x:c>
      <x:c r="I122" s="170" t="str">
        <x:v>No shoulder, elbow, lower-back or other pain reported</x:v>
      </x:c>
      <x:c r="J122" s="170" t="str">
        <x:v>Medium pre/post</x:v>
      </x:c>
      <x:c r="K122" s="170" t="str">
        <x:v>Excellent</x:v>
      </x:c>
      <x:c r="L122" s="170"/>
      <x:c r="M122" s="170" t="str">
        <x:v>Working</x:v>
      </x:c>
      <x:c r="N122" s="170" t="str">
        <x:v>1</x:v>
      </x:c>
    </x:row>
    <x:row r="123" ht="26.399999618530273" hidden="0" customHeight="1">
      <x:c r="A123" s="220" t="n">
        <x:v>46242</x:v>
      </x:c>
      <x:c r="B123" s="170" t="str">
        <x:v>Triceps</x:v>
      </x:c>
      <x:c r="C123" s="170" t="str">
        <x:v>Single-Arm Cable Pushdown</x:v>
      </x:c>
      <x:c r="D123" s="170" t="n">
        <x:v>3</x:v>
      </x:c>
      <x:c r="E123" s="170" t="n">
        <x:v>15</x:v>
      </x:c>
      <x:c r="F123" s="170" t="str">
        <x:v>kg total cable stack; each arm</x:v>
      </x:c>
      <x:c r="G123" s="170" t="n">
        <x:v>10</x:v>
      </x:c>
      <x:c r="H123" s="170" t="str">
        <x:v>Both arms matched; reps listed per arm; no forced repetitions</x:v>
      </x:c>
      <x:c r="I123" s="170" t="str">
        <x:v>No shoulder, elbow, lower-back or other pain reported</x:v>
      </x:c>
      <x:c r="J123" s="170" t="str">
        <x:v>Medium pre/post</x:v>
      </x:c>
      <x:c r="K123" s="170" t="str">
        <x:v>Excellent</x:v>
      </x:c>
      <x:c r="L123" s="170" t="str">
        <x:v>Next target 10 kg x 12-15 per arm at RIR 2-3</x:v>
      </x:c>
      <x:c r="M123" s="170" t="str">
        <x:v>Working</x:v>
      </x:c>
      <x:c r="N123" s="170" t="str">
        <x:v>1</x:v>
      </x:c>
    </x:row>
    <x:row r="124" ht="26.399999618530273" hidden="0" customHeight="1">
      <x:c r="A124" s="220" t="n">
        <x:v>46242</x:v>
      </x:c>
      <x:c r="B124" s="170" t="str">
        <x:v>Triceps</x:v>
      </x:c>
      <x:c r="C124" s="170" t="str">
        <x:v>Seated Two-Hand Overhead Dumbbell Extension</x:v>
      </x:c>
      <x:c r="D124" s="170" t="n">
        <x:v>1</x:v>
      </x:c>
      <x:c r="E124" s="170" t="n">
        <x:v>17.5</x:v>
      </x:c>
      <x:c r="F124" s="170" t="str">
        <x:v>kg total dumbbell</x:v>
      </x:c>
      <x:c r="G124" s="170" t="n">
        <x:v>15</x:v>
      </x:c>
      <x:c r="H124" s="170" t="str">
        <x:v>One dumbbell held with both hands; no forced repetitions</x:v>
      </x:c>
      <x:c r="I124" s="170" t="str">
        <x:v>No shoulder, elbow, lower-back or other pain reported</x:v>
      </x:c>
      <x:c r="J124" s="170" t="str">
        <x:v>Medium pre/post</x:v>
      </x:c>
      <x:c r="K124" s="170" t="str">
        <x:v>Excellent</x:v>
      </x:c>
      <x:c r="L124" s="170"/>
      <x:c r="M124" s="170" t="str">
        <x:v>Working</x:v>
      </x:c>
      <x:c r="N124" s="170" t="str">
        <x:v>3</x:v>
      </x:c>
    </x:row>
    <x:row r="125" ht="26.399999618530273" hidden="0" customHeight="1">
      <x:c r="A125" s="220" t="n">
        <x:v>46242</x:v>
      </x:c>
      <x:c r="B125" s="170" t="str">
        <x:v>Triceps</x:v>
      </x:c>
      <x:c r="C125" s="170" t="str">
        <x:v>Seated Two-Hand Overhead Dumbbell Extension</x:v>
      </x:c>
      <x:c r="D125" s="170" t="n">
        <x:v>2</x:v>
      </x:c>
      <x:c r="E125" s="170" t="n">
        <x:v>20</x:v>
      </x:c>
      <x:c r="F125" s="170" t="str">
        <x:v>kg total dumbbell</x:v>
      </x:c>
      <x:c r="G125" s="170" t="n">
        <x:v>13</x:v>
      </x:c>
      <x:c r="H125" s="170" t="str">
        <x:v>One dumbbell held with both hands; no forced repetitions</x:v>
      </x:c>
      <x:c r="I125" s="170" t="str">
        <x:v>No shoulder, elbow, lower-back or other pain reported</x:v>
      </x:c>
      <x:c r="J125" s="170" t="str">
        <x:v>Medium pre/post</x:v>
      </x:c>
      <x:c r="K125" s="170" t="str">
        <x:v>Excellent</x:v>
      </x:c>
      <x:c r="L125" s="170"/>
      <x:c r="M125" s="170" t="str">
        <x:v>Working</x:v>
      </x:c>
      <x:c r="N125" s="170" t="str">
        <x:v>2</x:v>
      </x:c>
    </x:row>
    <x:row r="126" ht="26.399999618530273" hidden="0" customHeight="1">
      <x:c r="A126" s="220" t="n">
        <x:v>46242</x:v>
      </x:c>
      <x:c r="B126" s="170" t="str">
        <x:v>Triceps</x:v>
      </x:c>
      <x:c r="C126" s="170" t="str">
        <x:v>Seated Two-Hand Overhead Dumbbell Extension</x:v>
      </x:c>
      <x:c r="D126" s="170" t="n">
        <x:v>3</x:v>
      </x:c>
      <x:c r="E126" s="170" t="n">
        <x:v>22.5</x:v>
      </x:c>
      <x:c r="F126" s="170" t="str">
        <x:v>kg total dumbbell</x:v>
      </x:c>
      <x:c r="G126" s="170" t="n">
        <x:v>10</x:v>
      </x:c>
      <x:c r="H126" s="170" t="str">
        <x:v>One dumbbell held with both hands; no forced repetitions</x:v>
      </x:c>
      <x:c r="I126" s="170" t="str">
        <x:v>No shoulder, elbow, lower-back or other pain reported</x:v>
      </x:c>
      <x:c r="J126" s="170" t="str">
        <x:v>Medium pre/post</x:v>
      </x:c>
      <x:c r="K126" s="170" t="str">
        <x:v>Excellent</x:v>
      </x:c>
      <x:c r="L126" s="170"/>
      <x:c r="M126" s="170" t="str">
        <x:v>Working</x:v>
      </x:c>
      <x:c r="N126" s="170" t="str">
        <x:v>2</x:v>
      </x:c>
    </x:row>
    <x:row r="127" ht="26.399999618530273" hidden="0" customHeight="1">
      <x:c r="A127" s="220" t="n">
        <x:v>46242</x:v>
      </x:c>
      <x:c r="B127" s="170" t="str">
        <x:v>Triceps</x:v>
      </x:c>
      <x:c r="C127" s="170" t="str">
        <x:v>Seated Two-Hand Overhead Dumbbell Extension</x:v>
      </x:c>
      <x:c r="D127" s="170" t="n">
        <x:v>4</x:v>
      </x:c>
      <x:c r="E127" s="170" t="n">
        <x:v>25</x:v>
      </x:c>
      <x:c r="F127" s="170" t="str">
        <x:v>kg total dumbbell</x:v>
      </x:c>
      <x:c r="G127" s="170" t="n">
        <x:v>10</x:v>
      </x:c>
      <x:c r="H127" s="170" t="str">
        <x:v>One dumbbell held with both hands; no forced repetitions</x:v>
      </x:c>
      <x:c r="I127" s="170" t="str">
        <x:v>No shoulder, elbow, lower-back or other pain reported</x:v>
      </x:c>
      <x:c r="J127" s="170" t="str">
        <x:v>Medium pre/post</x:v>
      </x:c>
      <x:c r="K127" s="170" t="str">
        <x:v>Excellent</x:v>
      </x:c>
      <x:c r="L127" s="170" t="str">
        <x:v>Next target 22.5 kg x 11-12 at RIR 2; omit the fourth set</x:v>
      </x:c>
      <x:c r="M127" s="170" t="str">
        <x:v>Working</x:v>
      </x:c>
      <x:c r="N127" s="170" t="str">
        <x:v>1</x:v>
      </x:c>
    </x:row>
    <x:row r="128" ht="26.399999618530273" hidden="0" customHeight="1">
      <x:c r="A128" s="220" t="n">
        <x:v>46242</x:v>
      </x:c>
      <x:c r="B128" s="170" t="str">
        <x:v>Triceps</x:v>
      </x:c>
      <x:c r="C128" s="170" t="str">
        <x:v>Assisted Dip Machine</x:v>
      </x:c>
      <x:c r="D128" s="170" t="n">
        <x:v>1</x:v>
      </x:c>
      <x:c r="E128" s="170" t="n">
        <x:v>70</x:v>
      </x:c>
      <x:c r="F128" s="170" t="str">
        <x:v>kg machine assistance; higher = easier</x:v>
      </x:c>
      <x:c r="G128" s="170" t="n">
        <x:v>12</x:v>
      </x:c>
      <x:c r="H128" s="170" t="str">
        <x:v>Machine support only; no forced repetitions from another person</x:v>
      </x:c>
      <x:c r="I128" s="170" t="str">
        <x:v>No shoulder, elbow, lower-back or other pain reported</x:v>
      </x:c>
      <x:c r="J128" s="170" t="str">
        <x:v>Medium pre/post</x:v>
      </x:c>
      <x:c r="K128" s="170" t="str">
        <x:v>Excellent</x:v>
      </x:c>
      <x:c r="L128" s="170"/>
      <x:c r="M128" s="170" t="str">
        <x:v>Working</x:v>
      </x:c>
      <x:c r="N128" s="170" t="str">
        <x:v>1</x:v>
      </x:c>
    </x:row>
    <x:row r="129" ht="26.399999618530273" hidden="0" customHeight="1">
      <x:c r="A129" s="220" t="n">
        <x:v>46242</x:v>
      </x:c>
      <x:c r="B129" s="170" t="str">
        <x:v>Triceps</x:v>
      </x:c>
      <x:c r="C129" s="170" t="str">
        <x:v>Assisted Dip Machine</x:v>
      </x:c>
      <x:c r="D129" s="170" t="n">
        <x:v>2</x:v>
      </x:c>
      <x:c r="E129" s="170" t="n">
        <x:v>60</x:v>
      </x:c>
      <x:c r="F129" s="170" t="str">
        <x:v>kg machine assistance; higher = easier</x:v>
      </x:c>
      <x:c r="G129" s="170" t="n">
        <x:v>10</x:v>
      </x:c>
      <x:c r="H129" s="170" t="str">
        <x:v>Machine support only; no forced repetitions from another person</x:v>
      </x:c>
      <x:c r="I129" s="170" t="str">
        <x:v>No shoulder, elbow, lower-back or other pain reported</x:v>
      </x:c>
      <x:c r="J129" s="170" t="str">
        <x:v>Medium pre/post</x:v>
      </x:c>
      <x:c r="K129" s="170" t="str">
        <x:v>Excellent</x:v>
      </x:c>
      <x:c r="L129" s="170"/>
      <x:c r="M129" s="170" t="str">
        <x:v>Working</x:v>
      </x:c>
      <x:c r="N129" s="170" t="str">
        <x:v>1</x:v>
      </x:c>
    </x:row>
    <x:row r="130" ht="39.599998474121094" hidden="0" customHeight="1">
      <x:c r="A130" s="220" t="n">
        <x:v>46242</x:v>
      </x:c>
      <x:c r="B130" s="170" t="str">
        <x:v>Triceps</x:v>
      </x:c>
      <x:c r="C130" s="170" t="str">
        <x:v>Assisted Dip Machine</x:v>
      </x:c>
      <x:c r="D130" s="170" t="n">
        <x:v>3</x:v>
      </x:c>
      <x:c r="E130" s="170" t="n">
        <x:v>60</x:v>
      </x:c>
      <x:c r="F130" s="170" t="str">
        <x:v>kg machine assistance; higher = easier</x:v>
      </x:c>
      <x:c r="G130" s="170" t="n">
        <x:v>10</x:v>
      </x:c>
      <x:c r="H130" s="170" t="str">
        <x:v>Machine support only; no forced repetitions from another person</x:v>
      </x:c>
      <x:c r="I130" s="170" t="str">
        <x:v>No shoulder, elbow, lower-back or other pain reported</x:v>
      </x:c>
      <x:c r="J130" s="170" t="str">
        <x:v>Medium pre/post</x:v>
      </x:c>
      <x:c r="K130" s="170" t="str">
        <x:v>Excellent</x:v>
      </x:c>
      <x:c r="L130" s="170" t="str">
        <x:v>Next target 70 kg assistance for 3 x 10-12 at RIR 2; reduce assistance only after 3 x 12 at RIR 2</x:v>
      </x:c>
      <x:c r="M130" s="170" t="str">
        <x:v>Working</x:v>
      </x:c>
      <x:c r="N130" s="170" t="str">
        <x:v>1</x:v>
      </x:c>
    </x:row>
    <x:row r="131">
      <x:c r="A131" s="220" t="n">
        <x:v>46244</x:v>
      </x:c>
      <x:c r="B131" s="170" t="str">
        <x:v>Back</x:v>
      </x:c>
      <x:c r="C131" s="170" t="str">
        <x:v>Seated Cable Row</x:v>
      </x:c>
      <x:c r="D131" s="170" t="n">
        <x:v>1</x:v>
      </x:c>
      <x:c r="E131" s="170" t="n">
        <x:v>45</x:v>
      </x:c>
      <x:c r="F131" s="170" t="str">
        <x:v>kg total cable stack</x:v>
      </x:c>
      <x:c r="G131" s="170" t="n">
        <x:v>16</x:v>
      </x:c>
      <x:c r="H131" s="170" t="str">
        <x:v>User-designated warm-up; RIR 2 made it stimulating</x:v>
      </x:c>
      <x:c r="I131" s="170" t="str">
        <x:v>No joint pain; slight triceps sensation only after straight-arm work</x:v>
      </x:c>
      <x:c r="J131" s="170" t="str">
        <x:v>Low to medium final</x:v>
      </x:c>
      <x:c r="K131" s="170" t="str">
        <x:v>Good</x:v>
      </x:c>
      <x:c r="L131" s="170"/>
      <x:c r="M131" s="170" t="str">
        <x:v>Working</x:v>
      </x:c>
      <x:c r="N131" s="170" t="n">
        <x:v>2</x:v>
      </x:c>
    </x:row>
    <x:row r="132">
      <x:c r="A132" s="220" t="n">
        <x:v>46244</x:v>
      </x:c>
      <x:c r="B132" s="170" t="str">
        <x:v>Back</x:v>
      </x:c>
      <x:c r="C132" s="170" t="str">
        <x:v>Seated Cable Row</x:v>
      </x:c>
      <x:c r="D132" s="170" t="n">
        <x:v>2</x:v>
      </x:c>
      <x:c r="E132" s="170" t="n">
        <x:v>50</x:v>
      </x:c>
      <x:c r="F132" s="170" t="str">
        <x:v>kg total cable stack</x:v>
      </x:c>
      <x:c r="G132" s="170" t="n">
        <x:v>12</x:v>
      </x:c>
      <x:c r="H132" s="170" t="str">
        <x:v>Torso-stability detail not independently verified</x:v>
      </x:c>
      <x:c r="I132" s="170" t="str">
        <x:v>No joint pain; slight triceps sensation only after straight-arm work</x:v>
      </x:c>
      <x:c r="J132" s="170" t="str">
        <x:v>Low to medium final</x:v>
      </x:c>
      <x:c r="K132" s="170" t="str">
        <x:v>Good</x:v>
      </x:c>
      <x:c r="L132" s="170"/>
      <x:c r="M132" s="170" t="str">
        <x:v>Working</x:v>
      </x:c>
      <x:c r="N132" s="170" t="n">
        <x:v>2</x:v>
      </x:c>
    </x:row>
    <x:row r="133">
      <x:c r="A133" s="220" t="n">
        <x:v>46244</x:v>
      </x:c>
      <x:c r="B133" s="170" t="str">
        <x:v>Back</x:v>
      </x:c>
      <x:c r="C133" s="170" t="str">
        <x:v>Seated Cable Row</x:v>
      </x:c>
      <x:c r="D133" s="170" t="n">
        <x:v>3</x:v>
      </x:c>
      <x:c r="E133" s="170" t="n">
        <x:v>55</x:v>
      </x:c>
      <x:c r="F133" s="170" t="str">
        <x:v>kg total cable stack</x:v>
      </x:c>
      <x:c r="G133" s="170" t="n">
        <x:v>10</x:v>
      </x:c>
      <x:c r="H133" s="170" t="str">
        <x:v>Torso-stability detail not independently verified</x:v>
      </x:c>
      <x:c r="I133" s="170" t="str">
        <x:v>No joint pain; slight triceps sensation only after straight-arm work</x:v>
      </x:c>
      <x:c r="J133" s="170" t="str">
        <x:v>Low to medium final</x:v>
      </x:c>
      <x:c r="K133" s="170" t="str">
        <x:v>Good</x:v>
      </x:c>
      <x:c r="L133" s="170"/>
      <x:c r="M133" s="170" t="str">
        <x:v>Working</x:v>
      </x:c>
      <x:c r="N133" s="170" t="n">
        <x:v>2</x:v>
      </x:c>
    </x:row>
    <x:row r="134">
      <x:c r="A134" s="220" t="n">
        <x:v>46244</x:v>
      </x:c>
      <x:c r="B134" s="170" t="str">
        <x:v>Back</x:v>
      </x:c>
      <x:c r="C134" s="170" t="str">
        <x:v>Seated Cable Row</x:v>
      </x:c>
      <x:c r="D134" s="170" t="n">
        <x:v>4</x:v>
      </x:c>
      <x:c r="E134" s="170" t="n">
        <x:v>60</x:v>
      </x:c>
      <x:c r="F134" s="170" t="str">
        <x:v>kg total cable stack</x:v>
      </x:c>
      <x:c r="G134" s="170" t="n">
        <x:v>9</x:v>
      </x:c>
      <x:c r="H134" s="170" t="str">
        <x:v>Progressed from 8 repetitions</x:v>
      </x:c>
      <x:c r="I134" s="170" t="str">
        <x:v>No joint pain; slight triceps sensation only after straight-arm work</x:v>
      </x:c>
      <x:c r="J134" s="170" t="str">
        <x:v>Low to medium final</x:v>
      </x:c>
      <x:c r="K134" s="170" t="str">
        <x:v>Good</x:v>
      </x:c>
      <x:c r="L134" s="170"/>
      <x:c r="M134" s="170" t="str">
        <x:v>Working</x:v>
      </x:c>
      <x:c r="N134" s="170" t="n">
        <x:v>1</x:v>
      </x:c>
    </x:row>
    <x:row r="135">
      <x:c r="A135" s="220" t="n">
        <x:v>46244</x:v>
      </x:c>
      <x:c r="B135" s="170" t="str">
        <x:v>Back</x:v>
      </x:c>
      <x:c r="C135" s="170" t="str">
        <x:v>Lat Pulldown</x:v>
      </x:c>
      <x:c r="D135" s="170" t="n">
        <x:v>1</x:v>
      </x:c>
      <x:c r="E135" s="170" t="n">
        <x:v>45</x:v>
      </x:c>
      <x:c r="F135" s="170" t="str">
        <x:v>kg total cable stack</x:v>
      </x:c>
      <x:c r="G135" s="170" t="n">
        <x:v>15</x:v>
      </x:c>
      <x:c r="H135" s="170" t="str">
        <x:v>User-designated warm-up; RIR 2 made it stimulating</x:v>
      </x:c>
      <x:c r="I135" s="170" t="str">
        <x:v>No joint pain; slight triceps sensation only after straight-arm work</x:v>
      </x:c>
      <x:c r="J135" s="170" t="str">
        <x:v>Low to medium final</x:v>
      </x:c>
      <x:c r="K135" s="170" t="str">
        <x:v>Good</x:v>
      </x:c>
      <x:c r="L135" s="170"/>
      <x:c r="M135" s="170" t="str">
        <x:v>Working</x:v>
      </x:c>
      <x:c r="N135" s="170" t="n">
        <x:v>2</x:v>
      </x:c>
    </x:row>
    <x:row r="136">
      <x:c r="A136" s="220" t="n">
        <x:v>46244</x:v>
      </x:c>
      <x:c r="B136" s="170" t="str">
        <x:v>Back</x:v>
      </x:c>
      <x:c r="C136" s="170" t="str">
        <x:v>Lat Pulldown</x:v>
      </x:c>
      <x:c r="D136" s="170" t="n">
        <x:v>2</x:v>
      </x:c>
      <x:c r="E136" s="170" t="n">
        <x:v>50</x:v>
      </x:c>
      <x:c r="F136" s="170" t="str">
        <x:v>kg total cable stack</x:v>
      </x:c>
      <x:c r="G136" s="170" t="n">
        <x:v>12</x:v>
      </x:c>
      <x:c r="H136" s="170" t="str">
        <x:v>Original RIR W explicitly corrected to RIR 2</x:v>
      </x:c>
      <x:c r="I136" s="170" t="str">
        <x:v>No joint pain; slight triceps sensation only after straight-arm work</x:v>
      </x:c>
      <x:c r="J136" s="170" t="str">
        <x:v>Low to medium final</x:v>
      </x:c>
      <x:c r="K136" s="170" t="str">
        <x:v>Good</x:v>
      </x:c>
      <x:c r="L136" s="170"/>
      <x:c r="M136" s="170" t="str">
        <x:v>Working</x:v>
      </x:c>
      <x:c r="N136" s="170" t="n">
        <x:v>2</x:v>
      </x:c>
    </x:row>
    <x:row r="137">
      <x:c r="A137" s="220" t="n">
        <x:v>46244</x:v>
      </x:c>
      <x:c r="B137" s="170" t="str">
        <x:v>Back</x:v>
      </x:c>
      <x:c r="C137" s="170" t="str">
        <x:v>Lat Pulldown</x:v>
      </x:c>
      <x:c r="D137" s="170" t="n">
        <x:v>3</x:v>
      </x:c>
      <x:c r="E137" s="170" t="n">
        <x:v>55</x:v>
      </x:c>
      <x:c r="F137" s="170" t="str">
        <x:v>kg total cable stack</x:v>
      </x:c>
      <x:c r="G137" s="170" t="n">
        <x:v>10</x:v>
      </x:c>
      <x:c r="H137" s="170" t="str">
        <x:v>Clean-form detail not independently verified</x:v>
      </x:c>
      <x:c r="I137" s="170" t="str">
        <x:v>No joint pain; slight triceps sensation only after straight-arm work</x:v>
      </x:c>
      <x:c r="J137" s="170" t="str">
        <x:v>Low to medium final</x:v>
      </x:c>
      <x:c r="K137" s="170" t="str">
        <x:v>Good</x:v>
      </x:c>
      <x:c r="L137" s="170"/>
      <x:c r="M137" s="170" t="str">
        <x:v>Working</x:v>
      </x:c>
      <x:c r="N137" s="170" t="n">
        <x:v>2</x:v>
      </x:c>
    </x:row>
    <x:row r="138">
      <x:c r="A138" s="220" t="n">
        <x:v>46244</x:v>
      </x:c>
      <x:c r="B138" s="170" t="str">
        <x:v>Back</x:v>
      </x:c>
      <x:c r="C138" s="170" t="str">
        <x:v>Lat Pulldown</x:v>
      </x:c>
      <x:c r="D138" s="170" t="n">
        <x:v>4</x:v>
      </x:c>
      <x:c r="E138" s="170" t="n">
        <x:v>55</x:v>
      </x:c>
      <x:c r="F138" s="170" t="str">
        <x:v>kg total cable stack</x:v>
      </x:c>
      <x:c r="G138" s="170" t="n">
        <x:v>10</x:v>
      </x:c>
      <x:c r="H138" s="170" t="str">
        <x:v>No 60 kg attempt or drop set</x:v>
      </x:c>
      <x:c r="I138" s="170" t="str">
        <x:v>No joint pain; slight triceps sensation only after straight-arm work</x:v>
      </x:c>
      <x:c r="J138" s="170" t="str">
        <x:v>Low to medium final</x:v>
      </x:c>
      <x:c r="K138" s="170" t="str">
        <x:v>Good</x:v>
      </x:c>
      <x:c r="L138" s="170"/>
      <x:c r="M138" s="170" t="str">
        <x:v>Working</x:v>
      </x:c>
      <x:c r="N138" s="170" t="n">
        <x:v>1</x:v>
      </x:c>
    </x:row>
    <x:row r="139">
      <x:c r="A139" s="220" t="n">
        <x:v>46244</x:v>
      </x:c>
      <x:c r="B139" s="170" t="str">
        <x:v>Back</x:v>
      </x:c>
      <x:c r="C139" s="170" t="str">
        <x:v>Chest-Supported Row</x:v>
      </x:c>
      <x:c r="D139" s="170" t="n">
        <x:v>1</x:v>
      </x:c>
      <x:c r="E139" s="170" t="n">
        <x:v>40</x:v>
      </x:c>
      <x:c r="F139" s="170" t="str">
        <x:v>kg plates each side</x:v>
      </x:c>
      <x:c r="G139" s="170" t="n">
        <x:v>15</x:v>
      </x:c>
      <x:c r="H139" s="170" t="str">
        <x:v>Chest kept against pad To verify</x:v>
      </x:c>
      <x:c r="I139" s="170" t="str">
        <x:v>No joint pain; slight triceps sensation only after straight-arm work</x:v>
      </x:c>
      <x:c r="J139" s="170" t="str">
        <x:v>Low to medium final</x:v>
      </x:c>
      <x:c r="K139" s="170" t="str">
        <x:v>Good</x:v>
      </x:c>
      <x:c r="L139" s="170"/>
      <x:c r="M139" s="170" t="str">
        <x:v>Working</x:v>
      </x:c>
      <x:c r="N139" s="170" t="n">
        <x:v>2</x:v>
      </x:c>
    </x:row>
    <x:row r="140">
      <x:c r="A140" s="220" t="n">
        <x:v>46244</x:v>
      </x:c>
      <x:c r="B140" s="170" t="str">
        <x:v>Back</x:v>
      </x:c>
      <x:c r="C140" s="170" t="str">
        <x:v>Chest-Supported Row</x:v>
      </x:c>
      <x:c r="D140" s="170" t="n">
        <x:v>2</x:v>
      </x:c>
      <x:c r="E140" s="170" t="n">
        <x:v>50</x:v>
      </x:c>
      <x:c r="F140" s="170" t="str">
        <x:v>kg plates each side</x:v>
      </x:c>
      <x:c r="G140" s="170" t="n">
        <x:v>12</x:v>
      </x:c>
      <x:c r="H140" s="170" t="str">
        <x:v>Chest kept against pad To verify</x:v>
      </x:c>
      <x:c r="I140" s="170" t="str">
        <x:v>No joint pain; slight triceps sensation only after straight-arm work</x:v>
      </x:c>
      <x:c r="J140" s="170" t="str">
        <x:v>Low to medium final</x:v>
      </x:c>
      <x:c r="K140" s="170" t="str">
        <x:v>Good</x:v>
      </x:c>
      <x:c r="L140" s="170"/>
      <x:c r="M140" s="170" t="str">
        <x:v>Working</x:v>
      </x:c>
      <x:c r="N140" s="170" t="n">
        <x:v>2</x:v>
      </x:c>
    </x:row>
    <x:row r="141">
      <x:c r="A141" s="220" t="n">
        <x:v>46244</x:v>
      </x:c>
      <x:c r="B141" s="170" t="str">
        <x:v>Back</x:v>
      </x:c>
      <x:c r="C141" s="170" t="str">
        <x:v>Chest-Supported Row</x:v>
      </x:c>
      <x:c r="D141" s="170" t="n">
        <x:v>3</x:v>
      </x:c>
      <x:c r="E141" s="170" t="n">
        <x:v>60</x:v>
      </x:c>
      <x:c r="F141" s="170" t="str">
        <x:v>kg plates each side</x:v>
      </x:c>
      <x:c r="G141" s="170" t="n">
        <x:v>11</x:v>
      </x:c>
      <x:c r="H141" s="170" t="str">
        <x:v>Matched previous reps with better reserve</x:v>
      </x:c>
      <x:c r="I141" s="170" t="str">
        <x:v>No joint pain; slight triceps sensation only after straight-arm work</x:v>
      </x:c>
      <x:c r="J141" s="170" t="str">
        <x:v>Low to medium final</x:v>
      </x:c>
      <x:c r="K141" s="170" t="str">
        <x:v>Good</x:v>
      </x:c>
      <x:c r="L141" s="170"/>
      <x:c r="M141" s="170" t="str">
        <x:v>Working</x:v>
      </x:c>
      <x:c r="N141" s="170" t="n">
        <x:v>2</x:v>
      </x:c>
    </x:row>
    <x:row r="142">
      <x:c r="A142" s="220" t="n">
        <x:v>46244</x:v>
      </x:c>
      <x:c r="B142" s="170" t="str">
        <x:v>Back</x:v>
      </x:c>
      <x:c r="C142" s="170" t="str">
        <x:v>Iso-Lateral High Row</x:v>
      </x:c>
      <x:c r="D142" s="170" t="n">
        <x:v>1</x:v>
      </x:c>
      <x:c r="E142" s="170" t="n">
        <x:v>10</x:v>
      </x:c>
      <x:c r="F142" s="170" t="str">
        <x:v>kg plates each side</x:v>
      </x:c>
      <x:c r="G142" s="170" t="n">
        <x:v>15</x:v>
      </x:c>
      <x:c r="H142" s="170" t="str">
        <x:v>Both sides matched</x:v>
      </x:c>
      <x:c r="I142" s="170" t="str">
        <x:v>No joint pain; slight triceps sensation only after straight-arm work</x:v>
      </x:c>
      <x:c r="J142" s="170" t="str">
        <x:v>Low to medium final</x:v>
      </x:c>
      <x:c r="K142" s="170" t="str">
        <x:v>Good</x:v>
      </x:c>
      <x:c r="L142" s="170"/>
      <x:c r="M142" s="170" t="str">
        <x:v>Working</x:v>
      </x:c>
      <x:c r="N142" s="170" t="n">
        <x:v>2</x:v>
      </x:c>
    </x:row>
    <x:row r="143">
      <x:c r="A143" s="220" t="n">
        <x:v>46244</x:v>
      </x:c>
      <x:c r="B143" s="170" t="str">
        <x:v>Back</x:v>
      </x:c>
      <x:c r="C143" s="170" t="str">
        <x:v>Iso-Lateral High Row</x:v>
      </x:c>
      <x:c r="D143" s="170" t="n">
        <x:v>2</x:v>
      </x:c>
      <x:c r="E143" s="170" t="n">
        <x:v>15</x:v>
      </x:c>
      <x:c r="F143" s="170" t="str">
        <x:v>kg plates each side</x:v>
      </x:c>
      <x:c r="G143" s="170" t="n">
        <x:v>12</x:v>
      </x:c>
      <x:c r="H143" s="170" t="str">
        <x:v>Both sides matched</x:v>
      </x:c>
      <x:c r="I143" s="170" t="str">
        <x:v>No joint pain; slight triceps sensation only after straight-arm work</x:v>
      </x:c>
      <x:c r="J143" s="170" t="str">
        <x:v>Low to medium final</x:v>
      </x:c>
      <x:c r="K143" s="170" t="str">
        <x:v>Good</x:v>
      </x:c>
      <x:c r="L143" s="170"/>
      <x:c r="M143" s="170" t="str">
        <x:v>Working</x:v>
      </x:c>
      <x:c r="N143" s="170" t="n">
        <x:v>2</x:v>
      </x:c>
    </x:row>
    <x:row r="144">
      <x:c r="A144" s="220" t="n">
        <x:v>46244</x:v>
      </x:c>
      <x:c r="B144" s="170" t="str">
        <x:v>Back</x:v>
      </x:c>
      <x:c r="C144" s="170" t="str">
        <x:v>Straight-Arm Pulldown</x:v>
      </x:c>
      <x:c r="D144" s="170" t="n">
        <x:v>1</x:v>
      </x:c>
      <x:c r="E144" s="170" t="n">
        <x:v>45</x:v>
      </x:c>
      <x:c r="F144" s="170" t="str">
        <x:v>kg total cable stack</x:v>
      </x:c>
      <x:c r="G144" s="170" t="n">
        <x:v>15</x:v>
      </x:c>
      <x:c r="H144" s="170" t="str">
        <x:v>Same cable machine; elbows fixed confirmed</x:v>
      </x:c>
      <x:c r="I144" s="170" t="str">
        <x:v>No joint pain; slight triceps sensation only after straight-arm work</x:v>
      </x:c>
      <x:c r="J144" s="170" t="str">
        <x:v>Low to medium final</x:v>
      </x:c>
      <x:c r="K144" s="170" t="str">
        <x:v>Good</x:v>
      </x:c>
      <x:c r="L144" s="170"/>
      <x:c r="M144" s="170" t="str">
        <x:v>Working</x:v>
      </x:c>
      <x:c r="N144" s="170" t="n">
        <x:v>2</x:v>
      </x:c>
    </x:row>
    <x:row r="145">
      <x:c r="A145" s="220" t="n">
        <x:v>46244</x:v>
      </x:c>
      <x:c r="B145" s="170" t="str">
        <x:v>Back</x:v>
      </x:c>
      <x:c r="C145" s="170" t="str">
        <x:v>Straight-Arm Pulldown</x:v>
      </x:c>
      <x:c r="D145" s="170" t="n">
        <x:v>2</x:v>
      </x:c>
      <x:c r="E145" s="170" t="n">
        <x:v>50</x:v>
      </x:c>
      <x:c r="F145" s="170" t="str">
        <x:v>kg total cable stack</x:v>
      </x:c>
      <x:c r="G145" s="170" t="n">
        <x:v>12</x:v>
      </x:c>
      <x:c r="H145" s="170" t="str">
        <x:v>Same cable machine; elbows fixed confirmed</x:v>
      </x:c>
      <x:c r="I145" s="170" t="str">
        <x:v>No joint pain; slight triceps sensation only after straight-arm work</x:v>
      </x:c>
      <x:c r="J145" s="170" t="str">
        <x:v>Low to medium final</x:v>
      </x:c>
      <x:c r="K145" s="170" t="str">
        <x:v>Good</x:v>
      </x:c>
      <x:c r="L145" s="170"/>
      <x:c r="M145" s="170" t="str">
        <x:v>Working</x:v>
      </x:c>
      <x:c r="N145" s="170" t="n">
        <x:v>1</x:v>
      </x:c>
    </x:row>
    <x:row r="146">
      <x:c r="A146" s="220" t="n">
        <x:v>46244</x:v>
      </x:c>
      <x:c r="B146" s="170" t="str">
        <x:v>Back</x:v>
      </x:c>
      <x:c r="C146" s="170" t="str">
        <x:v>Straight-Arm Pulldown</x:v>
      </x:c>
      <x:c r="D146" s="170" t="n">
        <x:v>3</x:v>
      </x:c>
      <x:c r="E146" s="170" t="n">
        <x:v>55</x:v>
      </x:c>
      <x:c r="F146" s="170" t="str">
        <x:v>kg total cable stack</x:v>
      </x:c>
      <x:c r="G146" s="170" t="n">
        <x:v>9</x:v>
      </x:c>
      <x:c r="H146" s="170" t="str">
        <x:v>Same machine; slight triceps sensation after session, not pain</x:v>
      </x:c>
      <x:c r="I146" s="170" t="str">
        <x:v>No joint pain; slight triceps sensation only after straight-arm work</x:v>
      </x:c>
      <x:c r="J146" s="170" t="str">
        <x:v>Low to medium final</x:v>
      </x:c>
      <x:c r="K146" s="170" t="str">
        <x:v>Good</x:v>
      </x:c>
      <x:c r="L146" s="170"/>
      <x:c r="M146" s="170" t="str">
        <x:v>Working</x:v>
      </x:c>
      <x:c r="N146" s="170" t="n">
        <x:v>1</x:v>
      </x:c>
    </x:row>
    <x:row r="147">
      <x:c r="A147" s="220" t="n">
        <x:v>46244</x:v>
      </x:c>
      <x:c r="B147" s="170" t="str">
        <x:v>Back</x:v>
      </x:c>
      <x:c r="C147" s="170" t="str">
        <x:v>Hyperextension</x:v>
      </x:c>
      <x:c r="D147" s="170" t="n">
        <x:v>1</x:v>
      </x:c>
      <x:c r="E147" s="170" t="str">
        <x:v>Body weight</x:v>
      </x:c>
      <x:c r="F147" s="170" t="str">
        <x:v>body weight</x:v>
      </x:c>
      <x:c r="G147" s="170" t="n">
        <x:v>15</x:v>
      </x:c>
      <x:c r="H147" s="170" t="str">
        <x:v>Controlled range detail To verify</x:v>
      </x:c>
      <x:c r="I147" s="170" t="str">
        <x:v>No joint pain; slight triceps sensation only after straight-arm work</x:v>
      </x:c>
      <x:c r="J147" s="170" t="str">
        <x:v>Low to medium final</x:v>
      </x:c>
      <x:c r="K147" s="170" t="str">
        <x:v>Good</x:v>
      </x:c>
      <x:c r="L147" s="170"/>
      <x:c r="M147" s="170" t="str">
        <x:v>Working</x:v>
      </x:c>
      <x:c r="N147" s="170" t="n">
        <x:v>3</x:v>
      </x:c>
    </x:row>
    <x:row r="148">
      <x:c r="A148" s="220" t="n">
        <x:v>46244</x:v>
      </x:c>
      <x:c r="B148" s="170" t="str">
        <x:v>Back</x:v>
      </x:c>
      <x:c r="C148" s="170" t="str">
        <x:v>Hyperextension</x:v>
      </x:c>
      <x:c r="D148" s="170" t="n">
        <x:v>2</x:v>
      </x:c>
      <x:c r="E148" s="170" t="str">
        <x:v>Body weight + 10</x:v>
      </x:c>
      <x:c r="F148" s="170" t="str">
        <x:v>kg plate held</x:v>
      </x:c>
      <x:c r="G148" s="170" t="n">
        <x:v>15</x:v>
      </x:c>
      <x:c r="H148" s="170" t="str">
        <x:v>No lower-back pain or pump</x:v>
      </x:c>
      <x:c r="I148" s="170" t="str">
        <x:v>No joint pain; slight triceps sensation only after straight-arm work</x:v>
      </x:c>
      <x:c r="J148" s="170" t="str">
        <x:v>Low to medium final</x:v>
      </x:c>
      <x:c r="K148" s="170" t="str">
        <x:v>Good</x:v>
      </x:c>
      <x:c r="L148" s="170"/>
      <x:c r="M148" s="170" t="str">
        <x:v>Working</x:v>
      </x:c>
      <x:c r="N148" s="170" t="n">
        <x:v>1</x:v>
      </x:c>
    </x:row>
    <x:row r="149">
      <x:c r="A149" s="220" t="n">
        <x:v>46244</x:v>
      </x:c>
      <x:c r="B149" s="170" t="str">
        <x:v>Back</x:v>
      </x:c>
      <x:c r="C149" s="170" t="str">
        <x:v>Hyperextension</x:v>
      </x:c>
      <x:c r="D149" s="170" t="n">
        <x:v>3</x:v>
      </x:c>
      <x:c r="E149" s="170" t="str">
        <x:v>Body weight + 15</x:v>
      </x:c>
      <x:c r="F149" s="170" t="str">
        <x:v>kg plate held</x:v>
      </x:c>
      <x:c r="G149" s="170" t="n">
        <x:v>12</x:v>
      </x:c>
      <x:c r="H149" s="170" t="str">
        <x:v>No lower-back pain or pump</x:v>
      </x:c>
      <x:c r="I149" s="170" t="str">
        <x:v>No joint pain; slight triceps sensation only after straight-arm work</x:v>
      </x:c>
      <x:c r="J149" s="170" t="str">
        <x:v>Low to medium final</x:v>
      </x:c>
      <x:c r="K149" s="170" t="str">
        <x:v>Good</x:v>
      </x:c>
      <x:c r="L149" s="170"/>
      <x:c r="M149" s="170" t="str">
        <x:v>Working</x:v>
      </x:c>
      <x:c r="N149" s="170" t="n">
        <x:v>1</x:v>
      </x:c>
    </x:row>
    <x:row r="150">
      <x:c r="A150" s="220" t="n">
        <x:v>46245</x:v>
      </x:c>
      <x:c r="B150" s="170" t="str">
        <x:v>Chest</x:v>
      </x:c>
      <x:c r="C150" s="170" t="str">
        <x:v>Flat Bench Press</x:v>
      </x:c>
      <x:c r="D150" s="170" t="n">
        <x:v>1</x:v>
      </x:c>
      <x:c r="E150" s="170" t="n">
        <x:v>15</x:v>
      </x:c>
      <x:c r="F150" s="170" t="str">
        <x:v>kg plates each side; bar excluded</x:v>
      </x:c>
      <x:c r="G150" s="170" t="n">
        <x:v>13</x:v>
      </x:c>
      <x:c r="H150" s="170" t="str">
        <x:v>Stimulating set, not a true warm-up</x:v>
      </x:c>
      <x:c r="I150" s="170" t="str">
        <x:v>No shoulder, chest, elbow or triceps pain</x:v>
      </x:c>
      <x:c r="J150" s="170" t="str">
        <x:v>Low final</x:v>
      </x:c>
      <x:c r="K150" s="170" t="str">
        <x:v>Good</x:v>
      </x:c>
      <x:c r="L150" s="170" t="str">
        <x:v>Low energy limited load progression; final incline rep nearly assisted</x:v>
      </x:c>
      <x:c r="M150" s="170" t="str">
        <x:v>Working</x:v>
      </x:c>
      <x:c r="N150" s="170" t="n">
        <x:v>2</x:v>
      </x:c>
    </x:row>
    <x:row r="151">
      <x:c r="A151" s="220" t="n">
        <x:v>46245</x:v>
      </x:c>
      <x:c r="B151" s="170" t="str">
        <x:v>Chest</x:v>
      </x:c>
      <x:c r="C151" s="170" t="str">
        <x:v>Flat Bench Press</x:v>
      </x:c>
      <x:c r="D151" s="170" t="n">
        <x:v>2</x:v>
      </x:c>
      <x:c r="E151" s="170" t="n">
        <x:v>17.5</x:v>
      </x:c>
      <x:c r="F151" s="170" t="str">
        <x:v>kg plates each side; bar excluded</x:v>
      </x:c>
      <x:c r="G151" s="170" t="n">
        <x:v>12</x:v>
      </x:c>
      <x:c r="H151" s="170" t="str">
        <x:v>Shoulder blades set To verify</x:v>
      </x:c>
      <x:c r="I151" s="170" t="str">
        <x:v>No shoulder, chest, elbow or triceps pain</x:v>
      </x:c>
      <x:c r="J151" s="170" t="str">
        <x:v>Low final</x:v>
      </x:c>
      <x:c r="K151" s="170" t="str">
        <x:v>Good</x:v>
      </x:c>
      <x:c r="L151" s="170" t="str">
        <x:v>Low energy limited load progression; final incline rep nearly assisted</x:v>
      </x:c>
      <x:c r="M151" s="170" t="str">
        <x:v>Working</x:v>
      </x:c>
      <x:c r="N151" s="170" t="n">
        <x:v>1</x:v>
      </x:c>
    </x:row>
    <x:row r="152">
      <x:c r="A152" s="220" t="n">
        <x:v>46245</x:v>
      </x:c>
      <x:c r="B152" s="170" t="str">
        <x:v>Chest</x:v>
      </x:c>
      <x:c r="C152" s="170" t="str">
        <x:v>Flat Bench Press</x:v>
      </x:c>
      <x:c r="D152" s="170" t="n">
        <x:v>3</x:v>
      </x:c>
      <x:c r="E152" s="170" t="n">
        <x:v>20</x:v>
      </x:c>
      <x:c r="F152" s="170" t="str">
        <x:v>kg plates each side; bar excluded</x:v>
      </x:c>
      <x:c r="G152" s="170" t="n">
        <x:v>9</x:v>
      </x:c>
      <x:c r="H152" s="170" t="str">
        <x:v>Shoulder blades set To verify</x:v>
      </x:c>
      <x:c r="I152" s="170" t="str">
        <x:v>No shoulder, chest, elbow or triceps pain</x:v>
      </x:c>
      <x:c r="J152" s="170" t="str">
        <x:v>Low final</x:v>
      </x:c>
      <x:c r="K152" s="170" t="str">
        <x:v>Good</x:v>
      </x:c>
      <x:c r="L152" s="170" t="str">
        <x:v>Low energy limited load progression; final incline rep nearly assisted</x:v>
      </x:c>
      <x:c r="M152" s="170" t="str">
        <x:v>Working</x:v>
      </x:c>
      <x:c r="N152" s="170" t="n">
        <x:v>1</x:v>
      </x:c>
    </x:row>
    <x:row r="153">
      <x:c r="A153" s="220" t="n">
        <x:v>46245</x:v>
      </x:c>
      <x:c r="B153" s="170" t="str">
        <x:v>Chest</x:v>
      </x:c>
      <x:c r="C153" s="170" t="str">
        <x:v>Flat Bench Press</x:v>
      </x:c>
      <x:c r="D153" s="170" t="n">
        <x:v>4</x:v>
      </x:c>
      <x:c r="E153" s="170" t="n">
        <x:v>22.5</x:v>
      </x:c>
      <x:c r="F153" s="170" t="str">
        <x:v>kg plates each side; bar excluded</x:v>
      </x:c>
      <x:c r="G153" s="170" t="n">
        <x:v>7</x:v>
      </x:c>
      <x:c r="H153" s="170" t="str">
        <x:v>Progressed from 6 to 7 reps</x:v>
      </x:c>
      <x:c r="I153" s="170" t="str">
        <x:v>No shoulder, chest, elbow or triceps pain</x:v>
      </x:c>
      <x:c r="J153" s="170" t="str">
        <x:v>Low final</x:v>
      </x:c>
      <x:c r="K153" s="170" t="str">
        <x:v>Good</x:v>
      </x:c>
      <x:c r="L153" s="170" t="str">
        <x:v>Low energy limited load progression; final incline rep nearly assisted</x:v>
      </x:c>
      <x:c r="M153" s="170" t="str">
        <x:v>Working</x:v>
      </x:c>
      <x:c r="N153" s="170" t="n">
        <x:v>1</x:v>
      </x:c>
    </x:row>
    <x:row r="154">
      <x:c r="A154" s="220" t="n">
        <x:v>46245</x:v>
      </x:c>
      <x:c r="B154" s="170" t="str">
        <x:v>Chest</x:v>
      </x:c>
      <x:c r="C154" s="170" t="str">
        <x:v>Plate Chest Press</x:v>
      </x:c>
      <x:c r="D154" s="170" t="n">
        <x:v>1</x:v>
      </x:c>
      <x:c r="E154" s="170" t="n">
        <x:v>30</x:v>
      </x:c>
      <x:c r="F154" s="170" t="str">
        <x:v>kg plates each side</x:v>
      </x:c>
      <x:c r="G154" s="170" t="n">
        <x:v>13</x:v>
      </x:c>
      <x:c r="H154" s="170" t="str">
        <x:v>Same machine assumed; To verify if machine changed</x:v>
      </x:c>
      <x:c r="I154" s="170" t="str">
        <x:v>No shoulder, chest, elbow or triceps pain</x:v>
      </x:c>
      <x:c r="J154" s="170" t="str">
        <x:v>Low final</x:v>
      </x:c>
      <x:c r="K154" s="170" t="str">
        <x:v>Good</x:v>
      </x:c>
      <x:c r="L154" s="170" t="str">
        <x:v>Low energy limited load progression; final incline rep nearly assisted</x:v>
      </x:c>
      <x:c r="M154" s="170" t="str">
        <x:v>Working</x:v>
      </x:c>
      <x:c r="N154" s="170" t="n">
        <x:v>1</x:v>
      </x:c>
    </x:row>
    <x:row r="155">
      <x:c r="A155" s="220" t="n">
        <x:v>46245</x:v>
      </x:c>
      <x:c r="B155" s="170" t="str">
        <x:v>Chest</x:v>
      </x:c>
      <x:c r="C155" s="170" t="str">
        <x:v>Plate Chest Press</x:v>
      </x:c>
      <x:c r="D155" s="170" t="n">
        <x:v>2</x:v>
      </x:c>
      <x:c r="E155" s="170" t="n">
        <x:v>40</x:v>
      </x:c>
      <x:c r="F155" s="170" t="str">
        <x:v>kg plates each side</x:v>
      </x:c>
      <x:c r="G155" s="170" t="n">
        <x:v>10</x:v>
      </x:c>
      <x:c r="H155" s="170" t="str">
        <x:v>Controlled eccentric To verify</x:v>
      </x:c>
      <x:c r="I155" s="170" t="str">
        <x:v>No shoulder, chest, elbow or triceps pain</x:v>
      </x:c>
      <x:c r="J155" s="170" t="str">
        <x:v>Low final</x:v>
      </x:c>
      <x:c r="K155" s="170" t="str">
        <x:v>Good</x:v>
      </x:c>
      <x:c r="L155" s="170" t="str">
        <x:v>Low energy limited load progression; final incline rep nearly assisted</x:v>
      </x:c>
      <x:c r="M155" s="170" t="str">
        <x:v>Working</x:v>
      </x:c>
      <x:c r="N155" s="170" t="n">
        <x:v>1</x:v>
      </x:c>
    </x:row>
    <x:row r="156">
      <x:c r="A156" s="220" t="n">
        <x:v>46245</x:v>
      </x:c>
      <x:c r="B156" s="170" t="str">
        <x:v>Chest</x:v>
      </x:c>
      <x:c r="C156" s="170" t="str">
        <x:v>Plate Chest Press</x:v>
      </x:c>
      <x:c r="D156" s="170" t="n">
        <x:v>3</x:v>
      </x:c>
      <x:c r="E156" s="170" t="n">
        <x:v>40</x:v>
      </x:c>
      <x:c r="F156" s="170" t="str">
        <x:v>kg plates each side</x:v>
      </x:c>
      <x:c r="G156" s="170" t="n">
        <x:v>9</x:v>
      </x:c>
      <x:c r="H156" s="170" t="str">
        <x:v>Controlled eccentric To verify</x:v>
      </x:c>
      <x:c r="I156" s="170" t="str">
        <x:v>No shoulder, chest, elbow or triceps pain</x:v>
      </x:c>
      <x:c r="J156" s="170" t="str">
        <x:v>Low final</x:v>
      </x:c>
      <x:c r="K156" s="170" t="str">
        <x:v>Good</x:v>
      </x:c>
      <x:c r="L156" s="170" t="str">
        <x:v>Low energy limited load progression; final incline rep nearly assisted</x:v>
      </x:c>
      <x:c r="M156" s="170" t="str">
        <x:v>Working</x:v>
      </x:c>
      <x:c r="N156" s="170" t="n">
        <x:v>1</x:v>
      </x:c>
    </x:row>
    <x:row r="157">
      <x:c r="A157" s="220" t="n">
        <x:v>46245</x:v>
      </x:c>
      <x:c r="B157" s="170" t="str">
        <x:v>Chest</x:v>
      </x:c>
      <x:c r="C157" s="170" t="str">
        <x:v>Incline Barbell Bench Press</x:v>
      </x:c>
      <x:c r="D157" s="170" t="n">
        <x:v>1</x:v>
      </x:c>
      <x:c r="E157" s="170" t="n">
        <x:v>10</x:v>
      </x:c>
      <x:c r="F157" s="170" t="str">
        <x:v>kg plates each side; bar excluded</x:v>
      </x:c>
      <x:c r="G157" s="170" t="n">
        <x:v>15</x:v>
      </x:c>
      <x:c r="H157" s="170" t="str">
        <x:v>New baseline</x:v>
      </x:c>
      <x:c r="I157" s="170" t="str">
        <x:v>No shoulder, chest, elbow or triceps pain</x:v>
      </x:c>
      <x:c r="J157" s="170" t="str">
        <x:v>Low final</x:v>
      </x:c>
      <x:c r="K157" s="170" t="str">
        <x:v>Good</x:v>
      </x:c>
      <x:c r="L157" s="170" t="str">
        <x:v>Low energy limited load progression; final incline rep nearly assisted</x:v>
      </x:c>
      <x:c r="M157" s="170" t="str">
        <x:v>Working</x:v>
      </x:c>
      <x:c r="N157" s="170" t="n">
        <x:v>1</x:v>
      </x:c>
    </x:row>
    <x:row r="158">
      <x:c r="A158" s="220" t="n">
        <x:v>46245</x:v>
      </x:c>
      <x:c r="B158" s="170" t="str">
        <x:v>Chest</x:v>
      </x:c>
      <x:c r="C158" s="170" t="str">
        <x:v>Incline Barbell Bench Press</x:v>
      </x:c>
      <x:c r="D158" s="170" t="n">
        <x:v>2</x:v>
      </x:c>
      <x:c r="E158" s="170" t="n">
        <x:v>12.5</x:v>
      </x:c>
      <x:c r="F158" s="170" t="str">
        <x:v>kg plates each side; bar excluded</x:v>
      </x:c>
      <x:c r="G158" s="170" t="n">
        <x:v>12</x:v>
      </x:c>
      <x:c r="H158" s="170" t="str">
        <x:v>New baseline</x:v>
      </x:c>
      <x:c r="I158" s="170" t="str">
        <x:v>No shoulder, chest, elbow or triceps pain</x:v>
      </x:c>
      <x:c r="J158" s="170" t="str">
        <x:v>Low final</x:v>
      </x:c>
      <x:c r="K158" s="170" t="str">
        <x:v>Good</x:v>
      </x:c>
      <x:c r="L158" s="170" t="str">
        <x:v>Low energy limited load progression; final incline rep nearly assisted</x:v>
      </x:c>
      <x:c r="M158" s="170" t="str">
        <x:v>Working</x:v>
      </x:c>
      <x:c r="N158" s="170" t="n">
        <x:v>1</x:v>
      </x:c>
    </x:row>
    <x:row r="159">
      <x:c r="A159" s="220" t="n">
        <x:v>46245</x:v>
      </x:c>
      <x:c r="B159" s="170" t="str">
        <x:v>Chest</x:v>
      </x:c>
      <x:c r="C159" s="170" t="str">
        <x:v>Incline Barbell Bench Press</x:v>
      </x:c>
      <x:c r="D159" s="170" t="n">
        <x:v>3</x:v>
      </x:c>
      <x:c r="E159" s="170" t="n">
        <x:v>15</x:v>
      </x:c>
      <x:c r="F159" s="170" t="str">
        <x:v>kg plates each side; bar excluded</x:v>
      </x:c>
      <x:c r="G159" s="170" t="n">
        <x:v>8</x:v>
      </x:c>
      <x:c r="H159" s="170" t="str">
        <x:v>Last rep nearly assisted; not counted as clean progression</x:v>
      </x:c>
      <x:c r="I159" s="170" t="str">
        <x:v>No shoulder, chest, elbow or triceps pain</x:v>
      </x:c>
      <x:c r="J159" s="170" t="str">
        <x:v>Low final</x:v>
      </x:c>
      <x:c r="K159" s="170" t="str">
        <x:v>Good</x:v>
      </x:c>
      <x:c r="L159" s="170" t="str">
        <x:v>Low energy limited load progression; final incline rep nearly assisted</x:v>
      </x:c>
      <x:c r="M159" s="170" t="str">
        <x:v>Working</x:v>
      </x:c>
      <x:c r="N159" s="170" t="n">
        <x:v>1</x:v>
      </x:c>
    </x:row>
    <x:row r="160">
      <x:c r="A160" s="220" t="n">
        <x:v>46245</x:v>
      </x:c>
      <x:c r="B160" s="170" t="str">
        <x:v>Chest</x:v>
      </x:c>
      <x:c r="C160" s="170" t="str">
        <x:v>Pec Deck Fly</x:v>
      </x:c>
      <x:c r="D160" s="170" t="n">
        <x:v>1</x:v>
      </x:c>
      <x:c r="E160" s="170" t="n">
        <x:v>45</x:v>
      </x:c>
      <x:c r="F160" s="170" t="str">
        <x:v>kg total machine stack</x:v>
      </x:c>
      <x:c r="G160" s="170" t="n">
        <x:v>15</x:v>
      </x:c>
      <x:c r="H160" s="170" t="str">
        <x:v>RIR 1 confirmed for the exercise</x:v>
      </x:c>
      <x:c r="I160" s="170" t="str">
        <x:v>No shoulder, chest, elbow or triceps pain</x:v>
      </x:c>
      <x:c r="J160" s="170" t="str">
        <x:v>Low final</x:v>
      </x:c>
      <x:c r="K160" s="170" t="str">
        <x:v>Good</x:v>
      </x:c>
      <x:c r="L160" s="170" t="str">
        <x:v>Low energy limited load progression; final incline rep nearly assisted</x:v>
      </x:c>
      <x:c r="M160" s="170" t="str">
        <x:v>Working</x:v>
      </x:c>
      <x:c r="N160" s="170" t="n">
        <x:v>1</x:v>
      </x:c>
    </x:row>
    <x:row r="161">
      <x:c r="A161" s="220" t="n">
        <x:v>46245</x:v>
      </x:c>
      <x:c r="B161" s="170" t="str">
        <x:v>Chest</x:v>
      </x:c>
      <x:c r="C161" s="170" t="str">
        <x:v>Pec Deck Fly</x:v>
      </x:c>
      <x:c r="D161" s="170" t="n">
        <x:v>2</x:v>
      </x:c>
      <x:c r="E161" s="170" t="n">
        <x:v>50</x:v>
      </x:c>
      <x:c r="F161" s="170" t="str">
        <x:v>kg total machine stack</x:v>
      </x:c>
      <x:c r="G161" s="170" t="n">
        <x:v>12</x:v>
      </x:c>
      <x:c r="H161" s="170" t="str">
        <x:v>RIR 1 confirmed for the exercise</x:v>
      </x:c>
      <x:c r="I161" s="170" t="str">
        <x:v>No shoulder, chest, elbow or triceps pain</x:v>
      </x:c>
      <x:c r="J161" s="170" t="str">
        <x:v>Low final</x:v>
      </x:c>
      <x:c r="K161" s="170" t="str">
        <x:v>Good</x:v>
      </x:c>
      <x:c r="L161" s="170" t="str">
        <x:v>Low energy limited load progression; final incline rep nearly assisted</x:v>
      </x:c>
      <x:c r="M161" s="170" t="str">
        <x:v>Working</x:v>
      </x:c>
      <x:c r="N161" s="170" t="n">
        <x:v>1</x:v>
      </x:c>
    </x:row>
    <x:row r="162">
      <x:c r="A162" s="220" t="n">
        <x:v>46245</x:v>
      </x:c>
      <x:c r="B162" s="170" t="str">
        <x:v>Chest</x:v>
      </x:c>
      <x:c r="C162" s="170" t="str">
        <x:v>Pec Deck Fly</x:v>
      </x:c>
      <x:c r="D162" s="170" t="n">
        <x:v>3</x:v>
      </x:c>
      <x:c r="E162" s="170" t="n">
        <x:v>55</x:v>
      </x:c>
      <x:c r="F162" s="170" t="str">
        <x:v>kg total machine stack</x:v>
      </x:c>
      <x:c r="G162" s="170" t="n">
        <x:v>11</x:v>
      </x:c>
      <x:c r="H162" s="170" t="str">
        <x:v>Progressed from 10 to 11 reps</x:v>
      </x:c>
      <x:c r="I162" s="170" t="str">
        <x:v>No shoulder, chest, elbow or triceps pain</x:v>
      </x:c>
      <x:c r="J162" s="170" t="str">
        <x:v>Low final</x:v>
      </x:c>
      <x:c r="K162" s="170" t="str">
        <x:v>Good</x:v>
      </x:c>
      <x:c r="L162" s="170" t="str">
        <x:v>Low energy limited load progression; final incline rep nearly assisted</x:v>
      </x:c>
      <x:c r="M162" s="170" t="str">
        <x:v>Working</x:v>
      </x:c>
      <x:c r="N162" s="170" t="n">
        <x:v>1</x:v>
      </x:c>
    </x:row>
    <x:row r="163">
      <x:c r="A163" s="220" t="n">
        <x:v>46245</x:v>
      </x:c>
      <x:c r="B163" s="170" t="str">
        <x:v>Chest</x:v>
      </x:c>
      <x:c r="C163" s="170" t="str">
        <x:v>Cable Fly</x:v>
      </x:c>
      <x:c r="D163" s="170" t="n">
        <x:v>1</x:v>
      </x:c>
      <x:c r="E163" s="170" t="n">
        <x:v>15</x:v>
      </x:c>
      <x:c r="F163" s="170" t="str">
        <x:v>kg each side</x:v>
      </x:c>
      <x:c r="G163" s="170" t="n">
        <x:v>20</x:v>
      </x:c>
      <x:c r="H163" s="170" t="str">
        <x:v>Conventional horizontal path; clean form confirmed</x:v>
      </x:c>
      <x:c r="I163" s="170" t="str">
        <x:v>No shoulder, chest, elbow or triceps pain</x:v>
      </x:c>
      <x:c r="J163" s="170" t="str">
        <x:v>Low final</x:v>
      </x:c>
      <x:c r="K163" s="170" t="str">
        <x:v>Good</x:v>
      </x:c>
      <x:c r="L163" s="170" t="str">
        <x:v>Low energy limited load progression; final incline rep nearly assisted</x:v>
      </x:c>
      <x:c r="M163" s="170" t="str">
        <x:v>Working</x:v>
      </x:c>
      <x:c r="N163" s="170" t="n">
        <x:v>2</x:v>
      </x:c>
    </x:row>
    <x:row r="164">
      <x:c r="A164" s="220" t="n">
        <x:v>46245</x:v>
      </x:c>
      <x:c r="B164" s="170" t="str">
        <x:v>Chest</x:v>
      </x:c>
      <x:c r="C164" s="170" t="str">
        <x:v>Cable Fly</x:v>
      </x:c>
      <x:c r="D164" s="170" t="n">
        <x:v>2</x:v>
      </x:c>
      <x:c r="E164" s="170" t="n">
        <x:v>20</x:v>
      </x:c>
      <x:c r="F164" s="170" t="str">
        <x:v>kg each side</x:v>
      </x:c>
      <x:c r="G164" s="170" t="n">
        <x:v>15</x:v>
      </x:c>
      <x:c r="H164" s="170" t="str">
        <x:v>Conventional horizontal path; clean form confirmed</x:v>
      </x:c>
      <x:c r="I164" s="170" t="str">
        <x:v>No shoulder, chest, elbow or triceps pain</x:v>
      </x:c>
      <x:c r="J164" s="170" t="str">
        <x:v>Low final</x:v>
      </x:c>
      <x:c r="K164" s="170" t="str">
        <x:v>Good</x:v>
      </x:c>
      <x:c r="L164" s="170" t="str">
        <x:v>Low energy limited load progression; final incline rep nearly assisted</x:v>
      </x:c>
      <x:c r="M164" s="170" t="str">
        <x:v>Working</x:v>
      </x:c>
      <x:c r="N164" s="170" t="n">
        <x:v>2</x:v>
      </x:c>
    </x:row>
    <x:row r="165">
      <x:c r="A165" s="220" t="n">
        <x:v>46245</x:v>
      </x:c>
      <x:c r="B165" s="170" t="str">
        <x:v>Chest</x:v>
      </x:c>
      <x:c r="C165" s="170" t="str">
        <x:v>Cable Fly</x:v>
      </x:c>
      <x:c r="D165" s="170" t="n">
        <x:v>3</x:v>
      </x:c>
      <x:c r="E165" s="170" t="n">
        <x:v>25</x:v>
      </x:c>
      <x:c r="F165" s="170" t="str">
        <x:v>kg each side</x:v>
      </x:c>
      <x:c r="G165" s="170" t="n">
        <x:v>10</x:v>
      </x:c>
      <x:c r="H165" s="170" t="str">
        <x:v>Conventional horizontal path; clean form confirmed</x:v>
      </x:c>
      <x:c r="I165" s="170" t="str">
        <x:v>No shoulder, chest, elbow or triceps pain</x:v>
      </x:c>
      <x:c r="J165" s="170" t="str">
        <x:v>Low final</x:v>
      </x:c>
      <x:c r="K165" s="170" t="str">
        <x:v>Good</x:v>
      </x:c>
      <x:c r="L165" s="170" t="str">
        <x:v>Low energy limited load progression; final incline rep nearly assisted</x:v>
      </x:c>
      <x:c r="M165" s="170" t="str">
        <x:v>Working</x:v>
      </x:c>
      <x:c r="N165" s="170" t="n">
        <x:v>2</x:v>
      </x:c>
    </x:row>
    <x:row r="166">
      <x:c r="A166" s="220" t="n">
        <x:v>46245</x:v>
      </x:c>
      <x:c r="B166" s="170" t="str">
        <x:v>Chest</x:v>
      </x:c>
      <x:c r="C166" s="170" t="str">
        <x:v>Low-to-High Cable Fly</x:v>
      </x:c>
      <x:c r="D166" s="170" t="n">
        <x:v>1</x:v>
      </x:c>
      <x:c r="E166" s="170" t="n">
        <x:v>5</x:v>
      </x:c>
      <x:c r="F166" s="170" t="str">
        <x:v>kg each side</x:v>
      </x:c>
      <x:c r="G166" s="170" t="n">
        <x:v>20</x:v>
      </x:c>
      <x:c r="H166" s="170" t="str">
        <x:v>Low pulleys; arms move upward; keep soft elbow bend</x:v>
      </x:c>
      <x:c r="I166" s="170" t="str">
        <x:v>No shoulder, chest, elbow or triceps pain</x:v>
      </x:c>
      <x:c r="J166" s="170" t="str">
        <x:v>Low final</x:v>
      </x:c>
      <x:c r="K166" s="170" t="str">
        <x:v>Good</x:v>
      </x:c>
      <x:c r="L166" s="170" t="str">
        <x:v>Low energy limited load progression; final incline rep nearly assisted</x:v>
      </x:c>
      <x:c r="M166" s="170" t="str">
        <x:v>Working</x:v>
      </x:c>
      <x:c r="N166" s="170" t="n">
        <x:v>3</x:v>
      </x:c>
    </x:row>
    <x:row r="167">
      <x:c r="A167" s="220" t="n">
        <x:v>46245</x:v>
      </x:c>
      <x:c r="B167" s="170" t="str">
        <x:v>Chest</x:v>
      </x:c>
      <x:c r="C167" s="170" t="str">
        <x:v>Low-to-High Cable Fly</x:v>
      </x:c>
      <x:c r="D167" s="170" t="n">
        <x:v>2</x:v>
      </x:c>
      <x:c r="E167" s="170" t="n">
        <x:v>10</x:v>
      </x:c>
      <x:c r="F167" s="170" t="str">
        <x:v>kg each side</x:v>
      </x:c>
      <x:c r="G167" s="170" t="n">
        <x:v>15</x:v>
      </x:c>
      <x:c r="H167" s="170" t="str">
        <x:v>Low pulleys; arms move upward; keep soft elbow bend</x:v>
      </x:c>
      <x:c r="I167" s="170" t="str">
        <x:v>No shoulder, chest, elbow or triceps pain</x:v>
      </x:c>
      <x:c r="J167" s="170" t="str">
        <x:v>Low final</x:v>
      </x:c>
      <x:c r="K167" s="170" t="str">
        <x:v>Good</x:v>
      </x:c>
      <x:c r="L167" s="170" t="str">
        <x:v>Low energy limited load progression; final incline rep nearly assisted</x:v>
      </x:c>
      <x:c r="M167" s="170" t="str">
        <x:v>Working</x:v>
      </x:c>
      <x:c r="N167" s="170" t="n">
        <x:v>3</x:v>
      </x:c>
    </x:row>
    <x:row r="168">
      <x:c r="A168" s="220" t="n">
        <x:v>46246</x:v>
      </x:c>
      <x:c r="B168" s="170" t="str">
        <x:v>Biceps</x:v>
      </x:c>
      <x:c r="C168" s="170" t="str">
        <x:v>Straight Bar Curl</x:v>
      </x:c>
      <x:c r="D168" s="170" t="n">
        <x:v>1</x:v>
      </x:c>
      <x:c r="E168" s="170" t="n">
        <x:v>7.5</x:v>
      </x:c>
      <x:c r="F168" s="170" t="str">
        <x:v>kg plates each side; bar excluded</x:v>
      </x:c>
      <x:c r="G168" s="170" t="n">
        <x:v>15</x:v>
      </x:c>
      <x:c r="H168" s="170" t="str">
        <x:v>Clean-form detail To verify</x:v>
      </x:c>
      <x:c r="I168" s="170" t="str">
        <x:v>No elbow, wrist, shoulder or biceps pain</x:v>
      </x:c>
      <x:c r="J168" s="170" t="str">
        <x:v>Low final</x:v>
      </x:c>
      <x:c r="K168" s="170" t="str">
        <x:v>Good</x:v>
      </x:c>
      <x:c r="L168" s="170"/>
      <x:c r="M168" s="170" t="str">
        <x:v>Working</x:v>
      </x:c>
      <x:c r="N168" s="170" t="n">
        <x:v>1</x:v>
      </x:c>
    </x:row>
    <x:row r="169">
      <x:c r="A169" s="220" t="n">
        <x:v>46246</x:v>
      </x:c>
      <x:c r="B169" s="170" t="str">
        <x:v>Biceps</x:v>
      </x:c>
      <x:c r="C169" s="170" t="str">
        <x:v>Straight Bar Curl</x:v>
      </x:c>
      <x:c r="D169" s="170" t="n">
        <x:v>2</x:v>
      </x:c>
      <x:c r="E169" s="170" t="n">
        <x:v>10</x:v>
      </x:c>
      <x:c r="F169" s="170" t="str">
        <x:v>kg plates each side; bar excluded</x:v>
      </x:c>
      <x:c r="G169" s="170" t="n">
        <x:v>12</x:v>
      </x:c>
      <x:c r="H169" s="170" t="str">
        <x:v>Clean-form detail To verify</x:v>
      </x:c>
      <x:c r="I169" s="170" t="str">
        <x:v>No elbow, wrist, shoulder or biceps pain</x:v>
      </x:c>
      <x:c r="J169" s="170" t="str">
        <x:v>Low final</x:v>
      </x:c>
      <x:c r="K169" s="170" t="str">
        <x:v>Good</x:v>
      </x:c>
      <x:c r="L169" s="170"/>
      <x:c r="M169" s="170" t="str">
        <x:v>Working</x:v>
      </x:c>
      <x:c r="N169" s="170" t="n">
        <x:v>1</x:v>
      </x:c>
    </x:row>
    <x:row r="170">
      <x:c r="A170" s="220" t="n">
        <x:v>46246</x:v>
      </x:c>
      <x:c r="B170" s="170" t="str">
        <x:v>Biceps</x:v>
      </x:c>
      <x:c r="C170" s="170" t="str">
        <x:v>Straight Bar Curl</x:v>
      </x:c>
      <x:c r="D170" s="170" t="n">
        <x:v>3</x:v>
      </x:c>
      <x:c r="E170" s="170" t="n">
        <x:v>12.5</x:v>
      </x:c>
      <x:c r="F170" s="170" t="str">
        <x:v>kg plates each side; bar excluded</x:v>
      </x:c>
      <x:c r="G170" s="170" t="n">
        <x:v>9</x:v>
      </x:c>
      <x:c r="H170" s="170" t="str">
        <x:v>Clean-form detail To verify</x:v>
      </x:c>
      <x:c r="I170" s="170" t="str">
        <x:v>No elbow, wrist, shoulder or biceps pain</x:v>
      </x:c>
      <x:c r="J170" s="170" t="str">
        <x:v>Low final</x:v>
      </x:c>
      <x:c r="K170" s="170" t="str">
        <x:v>Good</x:v>
      </x:c>
      <x:c r="L170" s="170"/>
      <x:c r="M170" s="170" t="str">
        <x:v>Working</x:v>
      </x:c>
      <x:c r="N170" s="170" t="n">
        <x:v>1</x:v>
      </x:c>
    </x:row>
    <x:row r="171">
      <x:c r="A171" s="220" t="n">
        <x:v>46246</x:v>
      </x:c>
      <x:c r="B171" s="170" t="str">
        <x:v>Biceps</x:v>
      </x:c>
      <x:c r="C171" s="170" t="str">
        <x:v>Straight Bar Curl</x:v>
      </x:c>
      <x:c r="D171" s="170" t="n">
        <x:v>4</x:v>
      </x:c>
      <x:c r="E171" s="170" t="n">
        <x:v>15</x:v>
      </x:c>
      <x:c r="F171" s="170" t="str">
        <x:v>kg plates each side; bar excluded</x:v>
      </x:c>
      <x:c r="G171" s="170" t="n">
        <x:v>7</x:v>
      </x:c>
      <x:c r="H171" s="170" t="str">
        <x:v>Clean-form detail To verify</x:v>
      </x:c>
      <x:c r="I171" s="170" t="str">
        <x:v>No elbow, wrist, shoulder or biceps pain</x:v>
      </x:c>
      <x:c r="J171" s="170" t="str">
        <x:v>Low final</x:v>
      </x:c>
      <x:c r="K171" s="170" t="str">
        <x:v>Good</x:v>
      </x:c>
      <x:c r="L171" s="170"/>
      <x:c r="M171" s="170" t="str">
        <x:v>Working</x:v>
      </x:c>
      <x:c r="N171" s="170" t="n">
        <x:v>1</x:v>
      </x:c>
    </x:row>
    <x:row r="172">
      <x:c r="A172" s="220" t="n">
        <x:v>46246</x:v>
      </x:c>
      <x:c r="B172" s="170" t="str">
        <x:v>Biceps</x:v>
      </x:c>
      <x:c r="C172" s="170" t="str">
        <x:v>Plate Curl Machine</x:v>
      </x:c>
      <x:c r="D172" s="170" t="n">
        <x:v>1</x:v>
      </x:c>
      <x:c r="E172" s="170" t="n">
        <x:v>5</x:v>
      </x:c>
      <x:c r="F172" s="170" t="str">
        <x:v>kg plates each side</x:v>
      </x:c>
      <x:c r="G172" s="170" t="n">
        <x:v>17</x:v>
      </x:c>
      <x:c r="H172" s="170" t="str">
        <x:v>Clean-form detail To verify</x:v>
      </x:c>
      <x:c r="I172" s="170" t="str">
        <x:v>No elbow, wrist, shoulder or biceps pain</x:v>
      </x:c>
      <x:c r="J172" s="170" t="str">
        <x:v>Low final</x:v>
      </x:c>
      <x:c r="K172" s="170" t="str">
        <x:v>Good</x:v>
      </x:c>
      <x:c r="L172" s="170"/>
      <x:c r="M172" s="170" t="str">
        <x:v>Working</x:v>
      </x:c>
      <x:c r="N172" s="170" t="n">
        <x:v>1</x:v>
      </x:c>
    </x:row>
    <x:row r="173">
      <x:c r="A173" s="220" t="n">
        <x:v>46246</x:v>
      </x:c>
      <x:c r="B173" s="170" t="str">
        <x:v>Biceps</x:v>
      </x:c>
      <x:c r="C173" s="170" t="str">
        <x:v>Plate Curl Machine</x:v>
      </x:c>
      <x:c r="D173" s="170" t="n">
        <x:v>2</x:v>
      </x:c>
      <x:c r="E173" s="170" t="n">
        <x:v>7.5</x:v>
      </x:c>
      <x:c r="F173" s="170" t="str">
        <x:v>kg plates each side</x:v>
      </x:c>
      <x:c r="G173" s="170" t="n">
        <x:v>13</x:v>
      </x:c>
      <x:c r="H173" s="170" t="str">
        <x:v>Clean-form detail To verify</x:v>
      </x:c>
      <x:c r="I173" s="170" t="str">
        <x:v>No elbow, wrist, shoulder or biceps pain</x:v>
      </x:c>
      <x:c r="J173" s="170" t="str">
        <x:v>Low final</x:v>
      </x:c>
      <x:c r="K173" s="170" t="str">
        <x:v>Good</x:v>
      </x:c>
      <x:c r="L173" s="170"/>
      <x:c r="M173" s="170" t="str">
        <x:v>Working</x:v>
      </x:c>
      <x:c r="N173" s="170" t="n">
        <x:v>1</x:v>
      </x:c>
    </x:row>
    <x:row r="174">
      <x:c r="A174" s="220" t="n">
        <x:v>46246</x:v>
      </x:c>
      <x:c r="B174" s="170" t="str">
        <x:v>Biceps</x:v>
      </x:c>
      <x:c r="C174" s="170" t="str">
        <x:v>Plate Curl Machine</x:v>
      </x:c>
      <x:c r="D174" s="170" t="n">
        <x:v>3</x:v>
      </x:c>
      <x:c r="E174" s="170" t="n">
        <x:v>10</x:v>
      </x:c>
      <x:c r="F174" s="170" t="str">
        <x:v>kg plates each side</x:v>
      </x:c>
      <x:c r="G174" s="170" t="n">
        <x:v>11</x:v>
      </x:c>
      <x:c r="H174" s="170" t="str">
        <x:v>Clean-form detail To verify</x:v>
      </x:c>
      <x:c r="I174" s="170" t="str">
        <x:v>No elbow, wrist, shoulder or biceps pain</x:v>
      </x:c>
      <x:c r="J174" s="170" t="str">
        <x:v>Low final</x:v>
      </x:c>
      <x:c r="K174" s="170" t="str">
        <x:v>Good</x:v>
      </x:c>
      <x:c r="L174" s="170"/>
      <x:c r="M174" s="170" t="str">
        <x:v>Working</x:v>
      </x:c>
      <x:c r="N174" s="170" t="n">
        <x:v>1</x:v>
      </x:c>
    </x:row>
    <x:row r="175">
      <x:c r="A175" s="220" t="n">
        <x:v>46246</x:v>
      </x:c>
      <x:c r="B175" s="170" t="str">
        <x:v>Biceps</x:v>
      </x:c>
      <x:c r="C175" s="170" t="str">
        <x:v>Plate Curl Machine</x:v>
      </x:c>
      <x:c r="D175" s="170" t="n">
        <x:v>4</x:v>
      </x:c>
      <x:c r="E175" s="170" t="n">
        <x:v>12.5</x:v>
      </x:c>
      <x:c r="F175" s="170" t="str">
        <x:v>kg plates each side</x:v>
      </x:c>
      <x:c r="G175" s="170" t="n">
        <x:v>9</x:v>
      </x:c>
      <x:c r="H175" s="170" t="str">
        <x:v>Clean-form detail To verify</x:v>
      </x:c>
      <x:c r="I175" s="170" t="str">
        <x:v>No elbow, wrist, shoulder or biceps pain</x:v>
      </x:c>
      <x:c r="J175" s="170" t="str">
        <x:v>Low final</x:v>
      </x:c>
      <x:c r="K175" s="170" t="str">
        <x:v>Good</x:v>
      </x:c>
      <x:c r="L175" s="170" t="str">
        <x:v>12.5 kg/side correction verified; old 10.25 entry preserved historically</x:v>
      </x:c>
      <x:c r="M175" s="170" t="str">
        <x:v>Working</x:v>
      </x:c>
      <x:c r="N175" s="170" t="n">
        <x:v>1</x:v>
      </x:c>
    </x:row>
    <x:row r="176">
      <x:c r="A176" s="220" t="n">
        <x:v>46246</x:v>
      </x:c>
      <x:c r="B176" s="170" t="str">
        <x:v>Biceps</x:v>
      </x:c>
      <x:c r="C176" s="170" t="str">
        <x:v>Hammer Curl</x:v>
      </x:c>
      <x:c r="D176" s="170" t="n">
        <x:v>1</x:v>
      </x:c>
      <x:c r="E176" s="170" t="n">
        <x:v>12.5</x:v>
      </x:c>
      <x:c r="F176" s="170" t="str">
        <x:v>kg each dumbbell</x:v>
      </x:c>
      <x:c r="G176" s="170" t="n">
        <x:v>15</x:v>
      </x:c>
      <x:c r="H176" s="170" t="str">
        <x:v>Clean-form detail To verify</x:v>
      </x:c>
      <x:c r="I176" s="170" t="str">
        <x:v>No elbow, wrist, shoulder or biceps pain</x:v>
      </x:c>
      <x:c r="J176" s="170" t="str">
        <x:v>Low final</x:v>
      </x:c>
      <x:c r="K176" s="170" t="str">
        <x:v>Good</x:v>
      </x:c>
      <x:c r="L176" s="170"/>
      <x:c r="M176" s="170" t="str">
        <x:v>Working</x:v>
      </x:c>
      <x:c r="N176" s="170" t="n">
        <x:v>2</x:v>
      </x:c>
    </x:row>
    <x:row r="177">
      <x:c r="A177" s="220" t="n">
        <x:v>46246</x:v>
      </x:c>
      <x:c r="B177" s="170" t="str">
        <x:v>Biceps</x:v>
      </x:c>
      <x:c r="C177" s="170" t="str">
        <x:v>Hammer Curl</x:v>
      </x:c>
      <x:c r="D177" s="170" t="n">
        <x:v>2</x:v>
      </x:c>
      <x:c r="E177" s="170" t="n">
        <x:v>15</x:v>
      </x:c>
      <x:c r="F177" s="170" t="str">
        <x:v>kg each dumbbell</x:v>
      </x:c>
      <x:c r="G177" s="170" t="n">
        <x:v>13</x:v>
      </x:c>
      <x:c r="H177" s="170" t="str">
        <x:v>Clean-form detail To verify</x:v>
      </x:c>
      <x:c r="I177" s="170" t="str">
        <x:v>No elbow, wrist, shoulder or biceps pain</x:v>
      </x:c>
      <x:c r="J177" s="170" t="str">
        <x:v>Low final</x:v>
      </x:c>
      <x:c r="K177" s="170" t="str">
        <x:v>Good</x:v>
      </x:c>
      <x:c r="L177" s="170"/>
      <x:c r="M177" s="170" t="str">
        <x:v>Working</x:v>
      </x:c>
      <x:c r="N177" s="170" t="n">
        <x:v>2</x:v>
      </x:c>
    </x:row>
    <x:row r="178">
      <x:c r="A178" s="220" t="n">
        <x:v>46246</x:v>
      </x:c>
      <x:c r="B178" s="170" t="str">
        <x:v>Biceps</x:v>
      </x:c>
      <x:c r="C178" s="170" t="str">
        <x:v>Hammer Curl</x:v>
      </x:c>
      <x:c r="D178" s="170" t="n">
        <x:v>3</x:v>
      </x:c>
      <x:c r="E178" s="170" t="n">
        <x:v>17.5</x:v>
      </x:c>
      <x:c r="F178" s="170" t="str">
        <x:v>kg each dumbbell</x:v>
      </x:c>
      <x:c r="G178" s="170" t="n">
        <x:v>11</x:v>
      </x:c>
      <x:c r="H178" s="170" t="str">
        <x:v>Clean-form detail To verify</x:v>
      </x:c>
      <x:c r="I178" s="170" t="str">
        <x:v>No elbow, wrist, shoulder or biceps pain</x:v>
      </x:c>
      <x:c r="J178" s="170" t="str">
        <x:v>Low final</x:v>
      </x:c>
      <x:c r="K178" s="170" t="str">
        <x:v>Good</x:v>
      </x:c>
      <x:c r="L178" s="170"/>
      <x:c r="M178" s="170" t="str">
        <x:v>Working</x:v>
      </x:c>
      <x:c r="N178" s="170" t="n">
        <x:v>1</x:v>
      </x:c>
    </x:row>
    <x:row r="179">
      <x:c r="A179" s="220" t="n">
        <x:v>46246</x:v>
      </x:c>
      <x:c r="B179" s="170" t="str">
        <x:v>Biceps</x:v>
      </x:c>
      <x:c r="C179" s="170" t="str">
        <x:v>Cable Curl</x:v>
      </x:c>
      <x:c r="D179" s="170" t="n">
        <x:v>1</x:v>
      </x:c>
      <x:c r="E179" s="170" t="n">
        <x:v>30</x:v>
      </x:c>
      <x:c r="F179" s="170" t="str">
        <x:v>kg total cable stack</x:v>
      </x:c>
      <x:c r="G179" s="170" t="n">
        <x:v>15</x:v>
      </x:c>
      <x:c r="H179" s="170" t="str">
        <x:v>Clean-form detail To verify</x:v>
      </x:c>
      <x:c r="I179" s="170" t="str">
        <x:v>No elbow, wrist, shoulder or biceps pain</x:v>
      </x:c>
      <x:c r="J179" s="170" t="str">
        <x:v>Low final</x:v>
      </x:c>
      <x:c r="K179" s="170" t="str">
        <x:v>Good</x:v>
      </x:c>
      <x:c r="L179" s="170"/>
      <x:c r="M179" s="170" t="str">
        <x:v>Working</x:v>
      </x:c>
      <x:c r="N179" s="170" t="n">
        <x:v>1</x:v>
      </x:c>
    </x:row>
    <x:row r="180">
      <x:c r="A180" s="220" t="n">
        <x:v>46246</x:v>
      </x:c>
      <x:c r="B180" s="170" t="str">
        <x:v>Biceps</x:v>
      </x:c>
      <x:c r="C180" s="170" t="str">
        <x:v>Cable Curl</x:v>
      </x:c>
      <x:c r="D180" s="170" t="n">
        <x:v>2</x:v>
      </x:c>
      <x:c r="E180" s="170" t="n">
        <x:v>35</x:v>
      </x:c>
      <x:c r="F180" s="170" t="str">
        <x:v>kg total cable stack</x:v>
      </x:c>
      <x:c r="G180" s="170" t="n">
        <x:v>12</x:v>
      </x:c>
      <x:c r="H180" s="170" t="str">
        <x:v>Clean-form detail To verify</x:v>
      </x:c>
      <x:c r="I180" s="170" t="str">
        <x:v>No elbow, wrist, shoulder or biceps pain</x:v>
      </x:c>
      <x:c r="J180" s="170" t="str">
        <x:v>Low final</x:v>
      </x:c>
      <x:c r="K180" s="170" t="str">
        <x:v>Good</x:v>
      </x:c>
      <x:c r="L180" s="170"/>
      <x:c r="M180" s="170" t="str">
        <x:v>Working</x:v>
      </x:c>
      <x:c r="N180" s="170" t="n">
        <x:v>1</x:v>
      </x:c>
    </x:row>
    <x:row r="181">
      <x:c r="A181" s="220" t="n">
        <x:v>46246</x:v>
      </x:c>
      <x:c r="B181" s="170" t="str">
        <x:v>Biceps</x:v>
      </x:c>
      <x:c r="C181" s="170" t="str">
        <x:v>Cable Curl</x:v>
      </x:c>
      <x:c r="D181" s="170" t="n">
        <x:v>3</x:v>
      </x:c>
      <x:c r="E181" s="170" t="n">
        <x:v>40</x:v>
      </x:c>
      <x:c r="F181" s="170" t="str">
        <x:v>kg total cable stack</x:v>
      </x:c>
      <x:c r="G181" s="170" t="n">
        <x:v>10</x:v>
      </x:c>
      <x:c r="H181" s="170" t="str">
        <x:v>Clean-form detail To verify</x:v>
      </x:c>
      <x:c r="I181" s="170" t="str">
        <x:v>No elbow, wrist, shoulder or biceps pain</x:v>
      </x:c>
      <x:c r="J181" s="170" t="str">
        <x:v>Low final</x:v>
      </x:c>
      <x:c r="K181" s="170" t="str">
        <x:v>Good</x:v>
      </x:c>
      <x:c r="L181" s="170"/>
      <x:c r="M181" s="170" t="str">
        <x:v>Working</x:v>
      </x:c>
      <x:c r="N181" s="170" t="n">
        <x:v>1</x:v>
      </x:c>
    </x:row>
    <x:row r="182">
      <x:c r="A182" s="220" t="n">
        <x:v>46246</x:v>
      </x:c>
      <x:c r="B182" s="170" t="str">
        <x:v>Biceps</x:v>
      </x:c>
      <x:c r="C182" s="170" t="str">
        <x:v>Concentration Curl</x:v>
      </x:c>
      <x:c r="D182" s="170" t="n">
        <x:v>1</x:v>
      </x:c>
      <x:c r="E182" s="170" t="n">
        <x:v>7.5</x:v>
      </x:c>
      <x:c r="F182" s="170" t="str">
        <x:v>kg each dumbbell</x:v>
      </x:c>
      <x:c r="G182" s="170" t="n">
        <x:v>15</x:v>
      </x:c>
      <x:c r="H182" s="170" t="str">
        <x:v>No body swing or assistance confirmed</x:v>
      </x:c>
      <x:c r="I182" s="170" t="str">
        <x:v>No elbow, wrist, shoulder or biceps pain</x:v>
      </x:c>
      <x:c r="J182" s="170" t="str">
        <x:v>Low final</x:v>
      </x:c>
      <x:c r="K182" s="170" t="str">
        <x:v>Good</x:v>
      </x:c>
      <x:c r="L182" s="170"/>
      <x:c r="M182" s="170" t="str">
        <x:v>Working</x:v>
      </x:c>
      <x:c r="N182" s="170" t="n">
        <x:v>1</x:v>
      </x:c>
    </x:row>
    <x:row r="183">
      <x:c r="A183" s="220" t="n">
        <x:v>46246</x:v>
      </x:c>
      <x:c r="B183" s="170" t="str">
        <x:v>Biceps</x:v>
      </x:c>
      <x:c r="C183" s="170" t="str">
        <x:v>Concentration Curl</x:v>
      </x:c>
      <x:c r="D183" s="170" t="n">
        <x:v>2</x:v>
      </x:c>
      <x:c r="E183" s="170" t="n">
        <x:v>10</x:v>
      </x:c>
      <x:c r="F183" s="170" t="str">
        <x:v>kg each dumbbell</x:v>
      </x:c>
      <x:c r="G183" s="170" t="n">
        <x:v>12</x:v>
      </x:c>
      <x:c r="H183" s="170" t="str">
        <x:v>No body swing or assistance confirmed</x:v>
      </x:c>
      <x:c r="I183" s="170" t="str">
        <x:v>No elbow, wrist, shoulder or biceps pain</x:v>
      </x:c>
      <x:c r="J183" s="170" t="str">
        <x:v>Low final</x:v>
      </x:c>
      <x:c r="K183" s="170" t="str">
        <x:v>Good</x:v>
      </x:c>
      <x:c r="L183" s="170"/>
      <x:c r="M183" s="170" t="str">
        <x:v>Working</x:v>
      </x:c>
      <x:c r="N183" s="170" t="n">
        <x:v>0</x:v>
      </x:c>
    </x:row>
    <x:row r="184">
      <x:c r="A184" s="220" t="n">
        <x:v>46246</x:v>
      </x:c>
      <x:c r="B184" s="170" t="str">
        <x:v>Biceps</x:v>
      </x:c>
      <x:c r="C184" s="170" t="str">
        <x:v>Concentration Curl</x:v>
      </x:c>
      <x:c r="D184" s="170" t="n">
        <x:v>3</x:v>
      </x:c>
      <x:c r="E184" s="170" t="n">
        <x:v>12.5</x:v>
      </x:c>
      <x:c r="F184" s="170" t="str">
        <x:v>kg each dumbbell</x:v>
      </x:c>
      <x:c r="G184" s="170" t="n">
        <x:v>9</x:v>
      </x:c>
      <x:c r="H184" s="170" t="str">
        <x:v>No body swing or assistance confirmed</x:v>
      </x:c>
      <x:c r="I184" s="170" t="str">
        <x:v>No elbow, wrist, shoulder or biceps pain</x:v>
      </x:c>
      <x:c r="J184" s="170" t="str">
        <x:v>Low final</x:v>
      </x:c>
      <x:c r="K184" s="170" t="str">
        <x:v>Good</x:v>
      </x:c>
      <x:c r="L184" s="170"/>
      <x:c r="M184" s="170" t="str">
        <x:v>Working</x:v>
      </x:c>
      <x:c r="N184" s="170" t="n">
        <x:v>1</x:v>
      </x:c>
    </x:row>
    <x:row r="185">
      <x:c r="A185" s="220" t="n">
        <x:v>46246</x:v>
      </x:c>
      <x:c r="B185" s="170" t="str">
        <x:v>Biceps</x:v>
      </x:c>
      <x:c r="C185" s="170" t="str">
        <x:v>Reverse EZ-Bar Curl</x:v>
      </x:c>
      <x:c r="D185" s="170" t="n">
        <x:v>1</x:v>
      </x:c>
      <x:c r="E185" s="170" t="n">
        <x:v>5</x:v>
      </x:c>
      <x:c r="F185" s="170" t="str">
        <x:v>kg plates each side; bar excluded</x:v>
      </x:c>
      <x:c r="G185" s="170" t="n">
        <x:v>15</x:v>
      </x:c>
      <x:c r="H185" s="170" t="str">
        <x:v>Clean-form detail To verify</x:v>
      </x:c>
      <x:c r="I185" s="170" t="str">
        <x:v>No elbow, wrist, shoulder or biceps pain</x:v>
      </x:c>
      <x:c r="J185" s="170" t="str">
        <x:v>Low final</x:v>
      </x:c>
      <x:c r="K185" s="170" t="str">
        <x:v>Good</x:v>
      </x:c>
      <x:c r="L185" s="170"/>
      <x:c r="M185" s="170" t="str">
        <x:v>Working</x:v>
      </x:c>
      <x:c r="N185" s="170" t="n">
        <x:v>2</x:v>
      </x:c>
    </x:row>
    <x:row r="186">
      <x:c r="A186" s="220" t="n">
        <x:v>46246</x:v>
      </x:c>
      <x:c r="B186" s="170" t="str">
        <x:v>Biceps</x:v>
      </x:c>
      <x:c r="C186" s="170" t="str">
        <x:v>Reverse EZ-Bar Curl</x:v>
      </x:c>
      <x:c r="D186" s="170" t="n">
        <x:v>2</x:v>
      </x:c>
      <x:c r="E186" s="170" t="n">
        <x:v>7.5</x:v>
      </x:c>
      <x:c r="F186" s="170" t="str">
        <x:v>kg plates each side; bar excluded</x:v>
      </x:c>
      <x:c r="G186" s="170" t="n">
        <x:v>12</x:v>
      </x:c>
      <x:c r="H186" s="170" t="str">
        <x:v>Clean-form detail To verify</x:v>
      </x:c>
      <x:c r="I186" s="170" t="str">
        <x:v>No elbow, wrist, shoulder or biceps pain</x:v>
      </x:c>
      <x:c r="J186" s="170" t="str">
        <x:v>Low final</x:v>
      </x:c>
      <x:c r="K186" s="170" t="str">
        <x:v>Good</x:v>
      </x:c>
      <x:c r="L186" s="170"/>
      <x:c r="M186" s="170" t="str">
        <x:v>Working</x:v>
      </x:c>
      <x:c r="N186" s="170" t="n">
        <x:v>1</x:v>
      </x:c>
    </x:row>
    <x:row r="187">
      <x:c r="A187" s="220" t="n">
        <x:v>46246</x:v>
      </x:c>
      <x:c r="B187" s="170" t="str">
        <x:v>Biceps</x:v>
      </x:c>
      <x:c r="C187" s="170" t="str">
        <x:v>Reverse EZ-Bar Curl</x:v>
      </x:c>
      <x:c r="D187" s="170" t="n">
        <x:v>3</x:v>
      </x:c>
      <x:c r="E187" s="170" t="n">
        <x:v>10</x:v>
      </x:c>
      <x:c r="F187" s="170" t="str">
        <x:v>kg plates each side; bar excluded</x:v>
      </x:c>
      <x:c r="G187" s="170" t="n">
        <x:v>10</x:v>
      </x:c>
      <x:c r="H187" s="170" t="str">
        <x:v>Clean-form detail To verify</x:v>
      </x:c>
      <x:c r="I187" s="170" t="str">
        <x:v>No elbow, wrist, shoulder or biceps pain</x:v>
      </x:c>
      <x:c r="J187" s="170" t="str">
        <x:v>Low final</x:v>
      </x:c>
      <x:c r="K187" s="170" t="str">
        <x:v>Good</x:v>
      </x:c>
      <x:c r="L187" s="170"/>
      <x:c r="M187" s="170" t="str">
        <x:v>Working</x:v>
      </x:c>
      <x:c r="N187" s="170" t="n">
        <x:v>1</x:v>
      </x:c>
    </x:row>
    <x:row r="188">
      <x:c r="A188" s="220" t="n">
        <x:v>46247</x:v>
      </x:c>
      <x:c r="B188" s="170" t="str">
        <x:v>Legs</x:v>
      </x:c>
      <x:c r="C188" s="170" t="str">
        <x:v>Hack Squat</x:v>
      </x:c>
      <x:c r="D188" s="170" t="n">
        <x:v>1</x:v>
      </x:c>
      <x:c r="E188" s="170" t="n">
        <x:v>30</x:v>
      </x:c>
      <x:c r="F188" s="170" t="str">
        <x:v>kg plates each side</x:v>
      </x:c>
      <x:c r="G188" s="170" t="n">
        <x:v>15</x:v>
      </x:c>
      <x:c r="H188" s="170" t="str">
        <x:v>Controlled depth To verify</x:v>
      </x:c>
      <x:c r="I188" s="170" t="str">
        <x:v>No knee, hip or lower-back pain</x:v>
      </x:c>
      <x:c r="J188" s="170" t="str">
        <x:v>Low final</x:v>
      </x:c>
      <x:c r="K188" s="170" t="str">
        <x:v>Good</x:v>
      </x:c>
      <x:c r="L188" s="170" t="str">
        <x:v>Walking downstairs felt easier than previous leg session</x:v>
      </x:c>
      <x:c r="M188" s="170" t="str">
        <x:v>Working</x:v>
      </x:c>
      <x:c r="N188" s="170" t="n">
        <x:v>3</x:v>
      </x:c>
    </x:row>
    <x:row r="189">
      <x:c r="A189" s="220" t="n">
        <x:v>46247</x:v>
      </x:c>
      <x:c r="B189" s="170" t="str">
        <x:v>Legs</x:v>
      </x:c>
      <x:c r="C189" s="170" t="str">
        <x:v>Hack Squat</x:v>
      </x:c>
      <x:c r="D189" s="170" t="n">
        <x:v>2</x:v>
      </x:c>
      <x:c r="E189" s="170" t="n">
        <x:v>40</x:v>
      </x:c>
      <x:c r="F189" s="170" t="str">
        <x:v>kg plates each side</x:v>
      </x:c>
      <x:c r="G189" s="170" t="n">
        <x:v>13</x:v>
      </x:c>
      <x:c r="H189" s="170" t="str">
        <x:v>Controlled depth To verify</x:v>
      </x:c>
      <x:c r="I189" s="170" t="str">
        <x:v>No knee, hip or lower-back pain</x:v>
      </x:c>
      <x:c r="J189" s="170" t="str">
        <x:v>Low final</x:v>
      </x:c>
      <x:c r="K189" s="170" t="str">
        <x:v>Good</x:v>
      </x:c>
      <x:c r="L189" s="170" t="str">
        <x:v>Walking downstairs felt easier than previous leg session</x:v>
      </x:c>
      <x:c r="M189" s="170" t="str">
        <x:v>Working</x:v>
      </x:c>
      <x:c r="N189" s="170" t="n">
        <x:v>2</x:v>
      </x:c>
    </x:row>
    <x:row r="190">
      <x:c r="A190" s="220" t="n">
        <x:v>46247</x:v>
      </x:c>
      <x:c r="B190" s="170" t="str">
        <x:v>Legs</x:v>
      </x:c>
      <x:c r="C190" s="170" t="str">
        <x:v>Hack Squat</x:v>
      </x:c>
      <x:c r="D190" s="170" t="n">
        <x:v>3</x:v>
      </x:c>
      <x:c r="E190" s="170" t="n">
        <x:v>50</x:v>
      </x:c>
      <x:c r="F190" s="170" t="str">
        <x:v>kg plates each side</x:v>
      </x:c>
      <x:c r="G190" s="170" t="n">
        <x:v>11</x:v>
      </x:c>
      <x:c r="H190" s="170" t="str">
        <x:v>Controlled depth To verify</x:v>
      </x:c>
      <x:c r="I190" s="170" t="str">
        <x:v>No knee, hip or lower-back pain</x:v>
      </x:c>
      <x:c r="J190" s="170" t="str">
        <x:v>Low final</x:v>
      </x:c>
      <x:c r="K190" s="170" t="str">
        <x:v>Good</x:v>
      </x:c>
      <x:c r="L190" s="170" t="str">
        <x:v>Walking downstairs felt easier than previous leg session</x:v>
      </x:c>
      <x:c r="M190" s="170" t="str">
        <x:v>Working</x:v>
      </x:c>
      <x:c r="N190" s="170" t="n">
        <x:v>1</x:v>
      </x:c>
    </x:row>
    <x:row r="191">
      <x:c r="A191" s="220" t="n">
        <x:v>46247</x:v>
      </x:c>
      <x:c r="B191" s="170" t="str">
        <x:v>Legs</x:v>
      </x:c>
      <x:c r="C191" s="170" t="str">
        <x:v>Hack Squat</x:v>
      </x:c>
      <x:c r="D191" s="170" t="n">
        <x:v>4</x:v>
      </x:c>
      <x:c r="E191" s="170" t="n">
        <x:v>60</x:v>
      </x:c>
      <x:c r="F191" s="170" t="str">
        <x:v>kg plates each side</x:v>
      </x:c>
      <x:c r="G191" s="170" t="n">
        <x:v>10</x:v>
      </x:c>
      <x:c r="H191" s="170" t="str">
        <x:v>Numerical progression from 9 reps</x:v>
      </x:c>
      <x:c r="I191" s="170" t="str">
        <x:v>No knee, hip or lower-back pain</x:v>
      </x:c>
      <x:c r="J191" s="170" t="str">
        <x:v>Low final</x:v>
      </x:c>
      <x:c r="K191" s="170" t="str">
        <x:v>Good</x:v>
      </x:c>
      <x:c r="L191" s="170" t="str">
        <x:v>Walking downstairs felt easier than previous leg session</x:v>
      </x:c>
      <x:c r="M191" s="170" t="str">
        <x:v>Working</x:v>
      </x:c>
      <x:c r="N191" s="170" t="n">
        <x:v>1</x:v>
      </x:c>
    </x:row>
    <x:row r="192">
      <x:c r="A192" s="220" t="n">
        <x:v>46247</x:v>
      </x:c>
      <x:c r="B192" s="170" t="str">
        <x:v>Legs</x:v>
      </x:c>
      <x:c r="C192" s="170" t="str">
        <x:v>Leg Press</x:v>
      </x:c>
      <x:c r="D192" s="170" t="n">
        <x:v>1</x:v>
      </x:c>
      <x:c r="E192" s="170" t="n">
        <x:v>90</x:v>
      </x:c>
      <x:c r="F192" s="170" t="str">
        <x:v>kg total load</x:v>
      </x:c>
      <x:c r="G192" s="170" t="n">
        <x:v>15</x:v>
      </x:c>
      <x:c r="H192" s="170" t="str">
        <x:v>No assistance</x:v>
      </x:c>
      <x:c r="I192" s="170" t="str">
        <x:v>No knee, hip or lower-back pain</x:v>
      </x:c>
      <x:c r="J192" s="170" t="str">
        <x:v>Low final</x:v>
      </x:c>
      <x:c r="K192" s="170" t="str">
        <x:v>Good</x:v>
      </x:c>
      <x:c r="L192" s="170" t="str">
        <x:v>Walking downstairs felt easier than previous leg session</x:v>
      </x:c>
      <x:c r="M192" s="170" t="str">
        <x:v>Working</x:v>
      </x:c>
      <x:c r="N192" s="170" t="n">
        <x:v>3</x:v>
      </x:c>
    </x:row>
    <x:row r="193">
      <x:c r="A193" s="220" t="n">
        <x:v>46247</x:v>
      </x:c>
      <x:c r="B193" s="170" t="str">
        <x:v>Legs</x:v>
      </x:c>
      <x:c r="C193" s="170" t="str">
        <x:v>Leg Press</x:v>
      </x:c>
      <x:c r="D193" s="170" t="n">
        <x:v>2</x:v>
      </x:c>
      <x:c r="E193" s="170" t="n">
        <x:v>110</x:v>
      </x:c>
      <x:c r="F193" s="170" t="str">
        <x:v>kg total load</x:v>
      </x:c>
      <x:c r="G193" s="170" t="n">
        <x:v>12</x:v>
      </x:c>
      <x:c r="H193" s="170" t="str">
        <x:v>No assistance</x:v>
      </x:c>
      <x:c r="I193" s="170" t="str">
        <x:v>No knee, hip or lower-back pain</x:v>
      </x:c>
      <x:c r="J193" s="170" t="str">
        <x:v>Low final</x:v>
      </x:c>
      <x:c r="K193" s="170" t="str">
        <x:v>Good</x:v>
      </x:c>
      <x:c r="L193" s="170" t="str">
        <x:v>Walking downstairs felt easier than previous leg session</x:v>
      </x:c>
      <x:c r="M193" s="170" t="str">
        <x:v>Working</x:v>
      </x:c>
      <x:c r="N193" s="170" t="n">
        <x:v>1</x:v>
      </x:c>
    </x:row>
    <x:row r="194">
      <x:c r="A194" s="220" t="n">
        <x:v>46247</x:v>
      </x:c>
      <x:c r="B194" s="170" t="str">
        <x:v>Legs</x:v>
      </x:c>
      <x:c r="C194" s="170" t="str">
        <x:v>Leg Press</x:v>
      </x:c>
      <x:c r="D194" s="170" t="n">
        <x:v>3</x:v>
      </x:c>
      <x:c r="E194" s="170" t="n">
        <x:v>130</x:v>
      </x:c>
      <x:c r="F194" s="170" t="str">
        <x:v>kg total load</x:v>
      </x:c>
      <x:c r="G194" s="170" t="n">
        <x:v>10</x:v>
      </x:c>
      <x:c r="H194" s="170" t="str">
        <x:v>No assistance</x:v>
      </x:c>
      <x:c r="I194" s="170" t="str">
        <x:v>No knee, hip or lower-back pain</x:v>
      </x:c>
      <x:c r="J194" s="170" t="str">
        <x:v>Low final</x:v>
      </x:c>
      <x:c r="K194" s="170" t="str">
        <x:v>Good</x:v>
      </x:c>
      <x:c r="L194" s="170" t="str">
        <x:v>Walking downstairs felt easier than previous leg session</x:v>
      </x:c>
      <x:c r="M194" s="170" t="str">
        <x:v>Working</x:v>
      </x:c>
      <x:c r="N194" s="170" t="n">
        <x:v>1</x:v>
      </x:c>
    </x:row>
    <x:row r="195">
      <x:c r="A195" s="220" t="n">
        <x:v>46247</x:v>
      </x:c>
      <x:c r="B195" s="170" t="str">
        <x:v>Legs</x:v>
      </x:c>
      <x:c r="C195" s="170" t="str">
        <x:v>Leg Press</x:v>
      </x:c>
      <x:c r="D195" s="170" t="n">
        <x:v>4</x:v>
      </x:c>
      <x:c r="E195" s="170" t="n">
        <x:v>150</x:v>
      </x:c>
      <x:c r="F195" s="170" t="str">
        <x:v>kg total load</x:v>
      </x:c>
      <x:c r="G195" s="170" t="n">
        <x:v>8</x:v>
      </x:c>
      <x:c r="H195" s="170" t="str">
        <x:v>4 clean + 4 hand-assisted; do not treat as 8 clean</x:v>
      </x:c>
      <x:c r="I195" s="170" t="str">
        <x:v>No knee, hip or lower-back pain</x:v>
      </x:c>
      <x:c r="J195" s="170" t="str">
        <x:v>Low final</x:v>
      </x:c>
      <x:c r="K195" s="170" t="str">
        <x:v>Good</x:v>
      </x:c>
      <x:c r="L195" s="170" t="str">
        <x:v>Walking downstairs felt easier than previous leg session</x:v>
      </x:c>
      <x:c r="M195" s="170" t="str">
        <x:v>Assisted</x:v>
      </x:c>
      <x:c r="N195" s="170" t="n">
        <x:v>1</x:v>
      </x:c>
    </x:row>
    <x:row r="196">
      <x:c r="A196" s="220" t="n">
        <x:v>46247</x:v>
      </x:c>
      <x:c r="B196" s="170" t="str">
        <x:v>Legs</x:v>
      </x:c>
      <x:c r="C196" s="170" t="str">
        <x:v>Leg Extension</x:v>
      </x:c>
      <x:c r="D196" s="170" t="n">
        <x:v>1</x:v>
      </x:c>
      <x:c r="E196" s="170" t="n">
        <x:v>30</x:v>
      </x:c>
      <x:c r="F196" s="170" t="str">
        <x:v>kg total stack</x:v>
      </x:c>
      <x:c r="G196" s="170" t="n">
        <x:v>16</x:v>
      </x:c>
      <x:c r="H196" s="170" t="str">
        <x:v>Controlled reps</x:v>
      </x:c>
      <x:c r="I196" s="170" t="str">
        <x:v>No knee, hip or lower-back pain</x:v>
      </x:c>
      <x:c r="J196" s="170" t="str">
        <x:v>Low final</x:v>
      </x:c>
      <x:c r="K196" s="170" t="str">
        <x:v>Good</x:v>
      </x:c>
      <x:c r="L196" s="170" t="str">
        <x:v>Walking downstairs felt easier than previous leg session</x:v>
      </x:c>
      <x:c r="M196" s="170" t="str">
        <x:v>Working</x:v>
      </x:c>
      <x:c r="N196" s="170" t="n">
        <x:v>2</x:v>
      </x:c>
    </x:row>
    <x:row r="197">
      <x:c r="A197" s="220" t="n">
        <x:v>46247</x:v>
      </x:c>
      <x:c r="B197" s="170" t="str">
        <x:v>Legs</x:v>
      </x:c>
      <x:c r="C197" s="170" t="str">
        <x:v>Leg Extension</x:v>
      </x:c>
      <x:c r="D197" s="170" t="n">
        <x:v>2</x:v>
      </x:c>
      <x:c r="E197" s="170" t="n">
        <x:v>35</x:v>
      </x:c>
      <x:c r="F197" s="170" t="str">
        <x:v>kg total stack</x:v>
      </x:c>
      <x:c r="G197" s="170" t="n">
        <x:v>14</x:v>
      </x:c>
      <x:c r="H197" s="170" t="str">
        <x:v>Controlled reps</x:v>
      </x:c>
      <x:c r="I197" s="170" t="str">
        <x:v>No knee, hip or lower-back pain</x:v>
      </x:c>
      <x:c r="J197" s="170" t="str">
        <x:v>Low final</x:v>
      </x:c>
      <x:c r="K197" s="170" t="str">
        <x:v>Good</x:v>
      </x:c>
      <x:c r="L197" s="170" t="str">
        <x:v>Walking downstairs felt easier than previous leg session</x:v>
      </x:c>
      <x:c r="M197" s="170" t="str">
        <x:v>Working</x:v>
      </x:c>
      <x:c r="N197" s="170" t="n">
        <x:v>2</x:v>
      </x:c>
    </x:row>
    <x:row r="198">
      <x:c r="A198" s="220" t="n">
        <x:v>46247</x:v>
      </x:c>
      <x:c r="B198" s="170" t="str">
        <x:v>Legs</x:v>
      </x:c>
      <x:c r="C198" s="170" t="str">
        <x:v>Leg Extension</x:v>
      </x:c>
      <x:c r="D198" s="170" t="n">
        <x:v>3</x:v>
      </x:c>
      <x:c r="E198" s="170" t="n">
        <x:v>40</x:v>
      </x:c>
      <x:c r="F198" s="170" t="str">
        <x:v>kg total stack</x:v>
      </x:c>
      <x:c r="G198" s="170" t="n">
        <x:v>12</x:v>
      </x:c>
      <x:c r="H198" s="170" t="str">
        <x:v>Controlled reps</x:v>
      </x:c>
      <x:c r="I198" s="170" t="str">
        <x:v>No knee, hip or lower-back pain</x:v>
      </x:c>
      <x:c r="J198" s="170" t="str">
        <x:v>Low final</x:v>
      </x:c>
      <x:c r="K198" s="170" t="str">
        <x:v>Good</x:v>
      </x:c>
      <x:c r="L198" s="170" t="str">
        <x:v>Walking downstairs felt easier than previous leg session</x:v>
      </x:c>
      <x:c r="M198" s="170" t="str">
        <x:v>Working</x:v>
      </x:c>
      <x:c r="N198" s="170" t="n">
        <x:v>2</x:v>
      </x:c>
    </x:row>
    <x:row r="199">
      <x:c r="A199" s="220" t="n">
        <x:v>46247</x:v>
      </x:c>
      <x:c r="B199" s="170" t="str">
        <x:v>Legs</x:v>
      </x:c>
      <x:c r="C199" s="170" t="str">
        <x:v>Leg Extension</x:v>
      </x:c>
      <x:c r="D199" s="170" t="n">
        <x:v>4</x:v>
      </x:c>
      <x:c r="E199" s="170" t="n">
        <x:v>45</x:v>
      </x:c>
      <x:c r="F199" s="170" t="str">
        <x:v>kg total stack</x:v>
      </x:c>
      <x:c r="G199" s="170" t="n">
        <x:v>12</x:v>
      </x:c>
      <x:c r="H199" s="170" t="str">
        <x:v>Progressed from 10 to 12 reps</x:v>
      </x:c>
      <x:c r="I199" s="170" t="str">
        <x:v>No knee, hip or lower-back pain</x:v>
      </x:c>
      <x:c r="J199" s="170" t="str">
        <x:v>Low final</x:v>
      </x:c>
      <x:c r="K199" s="170" t="str">
        <x:v>Good</x:v>
      </x:c>
      <x:c r="L199" s="170" t="str">
        <x:v>Walking downstairs felt easier than previous leg session</x:v>
      </x:c>
      <x:c r="M199" s="170" t="str">
        <x:v>Working</x:v>
      </x:c>
      <x:c r="N199" s="170" t="n">
        <x:v>1</x:v>
      </x:c>
    </x:row>
    <x:row r="200">
      <x:c r="A200" s="220" t="n">
        <x:v>46247</x:v>
      </x:c>
      <x:c r="B200" s="170" t="str">
        <x:v>Legs</x:v>
      </x:c>
      <x:c r="C200" s="170" t="str">
        <x:v>Leg Curl</x:v>
      </x:c>
      <x:c r="D200" s="170" t="n">
        <x:v>1</x:v>
      </x:c>
      <x:c r="E200" s="170" t="n">
        <x:v>35</x:v>
      </x:c>
      <x:c r="F200" s="170" t="str">
        <x:v>kg total stack</x:v>
      </x:c>
      <x:c r="G200" s="170" t="n">
        <x:v>15</x:v>
      </x:c>
      <x:c r="H200" s="170" t="str">
        <x:v>Full range not independently verified</x:v>
      </x:c>
      <x:c r="I200" s="170" t="str">
        <x:v>No knee, hip or lower-back pain</x:v>
      </x:c>
      <x:c r="J200" s="170" t="str">
        <x:v>Low final</x:v>
      </x:c>
      <x:c r="K200" s="170" t="str">
        <x:v>Good</x:v>
      </x:c>
      <x:c r="L200" s="170" t="str">
        <x:v>Walking downstairs felt easier than previous leg session</x:v>
      </x:c>
      <x:c r="M200" s="170" t="str">
        <x:v>Working</x:v>
      </x:c>
      <x:c r="N200" s="170" t="n">
        <x:v>1</x:v>
      </x:c>
    </x:row>
    <x:row r="201">
      <x:c r="A201" s="220" t="n">
        <x:v>46247</x:v>
      </x:c>
      <x:c r="B201" s="170" t="str">
        <x:v>Legs</x:v>
      </x:c>
      <x:c r="C201" s="170" t="str">
        <x:v>Leg Curl</x:v>
      </x:c>
      <x:c r="D201" s="170" t="n">
        <x:v>2</x:v>
      </x:c>
      <x:c r="E201" s="170" t="n">
        <x:v>40</x:v>
      </x:c>
      <x:c r="F201" s="170" t="str">
        <x:v>kg total stack</x:v>
      </x:c>
      <x:c r="G201" s="170" t="n">
        <x:v>8</x:v>
      </x:c>
      <x:c r="H201" s="170" t="str">
        <x:v>To verify: possible shortened range or hip movement while struggling</x:v>
      </x:c>
      <x:c r="I201" s="170" t="str">
        <x:v>No knee, hip or lower-back pain</x:v>
      </x:c>
      <x:c r="J201" s="170" t="str">
        <x:v>Low final</x:v>
      </x:c>
      <x:c r="K201" s="170" t="str">
        <x:v>Good</x:v>
      </x:c>
      <x:c r="L201" s="170" t="str">
        <x:v>Walking downstairs felt easier than previous leg session</x:v>
      </x:c>
      <x:c r="M201" s="170" t="str">
        <x:v>Working</x:v>
      </x:c>
      <x:c r="N201" s="170" t="n">
        <x:v>1</x:v>
      </x:c>
    </x:row>
    <x:row r="202">
      <x:c r="A202" s="220" t="n">
        <x:v>46247</x:v>
      </x:c>
      <x:c r="B202" s="170" t="str">
        <x:v>Legs</x:v>
      </x:c>
      <x:c r="C202" s="170" t="str">
        <x:v>Leg Curl</x:v>
      </x:c>
      <x:c r="D202" s="170" t="n">
        <x:v>3</x:v>
      </x:c>
      <x:c r="E202" s="170" t="n">
        <x:v>40</x:v>
      </x:c>
      <x:c r="F202" s="170" t="str">
        <x:v>kg total stack</x:v>
      </x:c>
      <x:c r="G202" s="170" t="n">
        <x:v>8</x:v>
      </x:c>
      <x:c r="H202" s="170" t="str">
        <x:v>To verify: possible shortened range or hip movement while struggling</x:v>
      </x:c>
      <x:c r="I202" s="170" t="str">
        <x:v>No knee, hip or lower-back pain</x:v>
      </x:c>
      <x:c r="J202" s="170" t="str">
        <x:v>Low final</x:v>
      </x:c>
      <x:c r="K202" s="170" t="str">
        <x:v>Good</x:v>
      </x:c>
      <x:c r="L202" s="170" t="str">
        <x:v>Walking downstairs felt easier than previous leg session</x:v>
      </x:c>
      <x:c r="M202" s="170" t="str">
        <x:v>Working</x:v>
      </x:c>
      <x:c r="N202" s="170" t="n">
        <x:v>1</x:v>
      </x:c>
    </x:row>
    <x:row r="203">
      <x:c r="A203" s="220" t="n">
        <x:v>46247</x:v>
      </x:c>
      <x:c r="B203" s="170" t="str">
        <x:v>Legs</x:v>
      </x:c>
      <x:c r="C203" s="170" t="str">
        <x:v>Hip Abductor</x:v>
      </x:c>
      <x:c r="D203" s="170" t="n">
        <x:v>1</x:v>
      </x:c>
      <x:c r="E203" s="170" t="n">
        <x:v>50</x:v>
      </x:c>
      <x:c r="F203" s="170" t="str">
        <x:v>kg total stack</x:v>
      </x:c>
      <x:c r="G203" s="170" t="n">
        <x:v>15</x:v>
      </x:c>
      <x:c r="H203" s="170" t="str">
        <x:v>Controlled</x:v>
      </x:c>
      <x:c r="I203" s="170" t="str">
        <x:v>No knee, hip or lower-back pain</x:v>
      </x:c>
      <x:c r="J203" s="170" t="str">
        <x:v>Low final</x:v>
      </x:c>
      <x:c r="K203" s="170" t="str">
        <x:v>Good</x:v>
      </x:c>
      <x:c r="L203" s="170" t="str">
        <x:v>Walking downstairs felt easier than previous leg session</x:v>
      </x:c>
      <x:c r="M203" s="170" t="str">
        <x:v>Working</x:v>
      </x:c>
      <x:c r="N203" s="170" t="n">
        <x:v>2</x:v>
      </x:c>
    </x:row>
    <x:row r="204">
      <x:c r="A204" s="220" t="n">
        <x:v>46247</x:v>
      </x:c>
      <x:c r="B204" s="170" t="str">
        <x:v>Legs</x:v>
      </x:c>
      <x:c r="C204" s="170" t="str">
        <x:v>Hip Abductor</x:v>
      </x:c>
      <x:c r="D204" s="170" t="n">
        <x:v>2</x:v>
      </x:c>
      <x:c r="E204" s="170" t="n">
        <x:v>60</x:v>
      </x:c>
      <x:c r="F204" s="170" t="str">
        <x:v>kg total stack</x:v>
      </x:c>
      <x:c r="G204" s="170" t="n">
        <x:v>12</x:v>
      </x:c>
      <x:c r="H204" s="170" t="str">
        <x:v>Controlled</x:v>
      </x:c>
      <x:c r="I204" s="170" t="str">
        <x:v>No knee, hip or lower-back pain</x:v>
      </x:c>
      <x:c r="J204" s="170" t="str">
        <x:v>Low final</x:v>
      </x:c>
      <x:c r="K204" s="170" t="str">
        <x:v>Good</x:v>
      </x:c>
      <x:c r="L204" s="170" t="str">
        <x:v>Walking downstairs felt easier than previous leg session</x:v>
      </x:c>
      <x:c r="M204" s="170" t="str">
        <x:v>Working</x:v>
      </x:c>
      <x:c r="N204" s="170" t="n">
        <x:v>2</x:v>
      </x:c>
    </x:row>
    <x:row r="205">
      <x:c r="A205" s="220" t="n">
        <x:v>46247</x:v>
      </x:c>
      <x:c r="B205" s="170" t="str">
        <x:v>Legs</x:v>
      </x:c>
      <x:c r="C205" s="170" t="str">
        <x:v>Hip Adductor</x:v>
      </x:c>
      <x:c r="D205" s="170" t="n">
        <x:v>1</x:v>
      </x:c>
      <x:c r="E205" s="170" t="n">
        <x:v>40</x:v>
      </x:c>
      <x:c r="F205" s="170" t="str">
        <x:v>kg total stack</x:v>
      </x:c>
      <x:c r="G205" s="170" t="n">
        <x:v>15</x:v>
      </x:c>
      <x:c r="H205" s="170" t="str">
        <x:v>Controlled squeeze</x:v>
      </x:c>
      <x:c r="I205" s="170" t="str">
        <x:v>No knee, hip or lower-back pain</x:v>
      </x:c>
      <x:c r="J205" s="170" t="str">
        <x:v>Low final</x:v>
      </x:c>
      <x:c r="K205" s="170" t="str">
        <x:v>Good</x:v>
      </x:c>
      <x:c r="L205" s="170" t="str">
        <x:v>Walking downstairs felt easier than previous leg session</x:v>
      </x:c>
      <x:c r="M205" s="170" t="str">
        <x:v>Working</x:v>
      </x:c>
      <x:c r="N205" s="170" t="n">
        <x:v>2</x:v>
      </x:c>
    </x:row>
    <x:row r="206">
      <x:c r="A206" s="220" t="n">
        <x:v>46247</x:v>
      </x:c>
      <x:c r="B206" s="170" t="str">
        <x:v>Legs</x:v>
      </x:c>
      <x:c r="C206" s="170" t="str">
        <x:v>Hip Adductor</x:v>
      </x:c>
      <x:c r="D206" s="170" t="n">
        <x:v>2</x:v>
      </x:c>
      <x:c r="E206" s="170" t="n">
        <x:v>50</x:v>
      </x:c>
      <x:c r="F206" s="170" t="str">
        <x:v>kg total stack</x:v>
      </x:c>
      <x:c r="G206" s="170" t="n">
        <x:v>10</x:v>
      </x:c>
      <x:c r="H206" s="170" t="str">
        <x:v>Controlled squeeze</x:v>
      </x:c>
      <x:c r="I206" s="170" t="str">
        <x:v>No knee, hip or lower-back pain</x:v>
      </x:c>
      <x:c r="J206" s="170" t="str">
        <x:v>Low final</x:v>
      </x:c>
      <x:c r="K206" s="170" t="str">
        <x:v>Good</x:v>
      </x:c>
      <x:c r="L206" s="170" t="str">
        <x:v>Walking downstairs felt easier than previous leg session</x:v>
      </x:c>
      <x:c r="M206" s="170" t="str">
        <x:v>Working</x:v>
      </x:c>
      <x:c r="N206" s="170" t="n">
        <x:v>1</x:v>
      </x:c>
    </x:row>
    <x:row r="207">
      <x:c r="A207" s="220" t="n">
        <x:v>46247</x:v>
      </x:c>
      <x:c r="B207" s="170" t="str">
        <x:v>Legs</x:v>
      </x:c>
      <x:c r="C207" s="170" t="str">
        <x:v>Standing Calf Raise</x:v>
      </x:c>
      <x:c r="D207" s="170" t="n">
        <x:v>1</x:v>
      </x:c>
      <x:c r="E207" s="170" t="str">
        <x:v>Bar/body resistance only</x:v>
      </x:c>
      <x:c r="F207" s="170" t="str">
        <x:v>guided bar machine</x:v>
      </x:c>
      <x:c r="G207" s="170" t="n">
        <x:v>22</x:v>
      </x:c>
      <x:c r="H207" s="170" t="str">
        <x:v>Full stretch and top pause To verify</x:v>
      </x:c>
      <x:c r="I207" s="170" t="str">
        <x:v>No knee, hip or lower-back pain</x:v>
      </x:c>
      <x:c r="J207" s="170" t="str">
        <x:v>Low final</x:v>
      </x:c>
      <x:c r="K207" s="170" t="str">
        <x:v>Good</x:v>
      </x:c>
      <x:c r="L207" s="170" t="str">
        <x:v>Walking downstairs felt easier than previous leg session</x:v>
      </x:c>
      <x:c r="M207" s="170" t="str">
        <x:v>Working</x:v>
      </x:c>
      <x:c r="N207" s="170" t="n">
        <x:v>3</x:v>
      </x:c>
    </x:row>
    <x:row r="208">
      <x:c r="A208" s="220" t="n">
        <x:v>46247</x:v>
      </x:c>
      <x:c r="B208" s="170" t="str">
        <x:v>Legs</x:v>
      </x:c>
      <x:c r="C208" s="170" t="str">
        <x:v>Standing Calf Raise</x:v>
      </x:c>
      <x:c r="D208" s="170" t="n">
        <x:v>2</x:v>
      </x:c>
      <x:c r="E208" s="170" t="str">
        <x:v>Bar + 10</x:v>
      </x:c>
      <x:c r="F208" s="170" t="str">
        <x:v>kg plates each side</x:v>
      </x:c>
      <x:c r="G208" s="170" t="n">
        <x:v>18</x:v>
      </x:c>
      <x:c r="H208" s="170" t="str">
        <x:v>Full stretch and top pause To verify</x:v>
      </x:c>
      <x:c r="I208" s="170" t="str">
        <x:v>No knee, hip or lower-back pain</x:v>
      </x:c>
      <x:c r="J208" s="170" t="str">
        <x:v>Low final</x:v>
      </x:c>
      <x:c r="K208" s="170" t="str">
        <x:v>Good</x:v>
      </x:c>
      <x:c r="L208" s="170" t="str">
        <x:v>Walking downstairs felt easier than previous leg session</x:v>
      </x:c>
      <x:c r="M208" s="170" t="str">
        <x:v>Working</x:v>
      </x:c>
      <x:c r="N208" s="170" t="n">
        <x:v>2</x:v>
      </x:c>
    </x:row>
    <x:row r="209">
      <x:c r="A209" s="220" t="n">
        <x:v>46247</x:v>
      </x:c>
      <x:c r="B209" s="170" t="str">
        <x:v>Legs</x:v>
      </x:c>
      <x:c r="C209" s="170" t="str">
        <x:v>Standing Calf Raise</x:v>
      </x:c>
      <x:c r="D209" s="170" t="n">
        <x:v>3</x:v>
      </x:c>
      <x:c r="E209" s="170" t="str">
        <x:v>Bar + 20</x:v>
      </x:c>
      <x:c r="F209" s="170" t="str">
        <x:v>kg plates each side</x:v>
      </x:c>
      <x:c r="G209" s="170" t="n">
        <x:v>16</x:v>
      </x:c>
      <x:c r="H209" s="170" t="str">
        <x:v>Improved from 14 to 16 reps</x:v>
      </x:c>
      <x:c r="I209" s="170" t="str">
        <x:v>No knee, hip or lower-back pain</x:v>
      </x:c>
      <x:c r="J209" s="170" t="str">
        <x:v>Low final</x:v>
      </x:c>
      <x:c r="K209" s="170" t="str">
        <x:v>Good</x:v>
      </x:c>
      <x:c r="L209" s="170" t="str">
        <x:v>Walking downstairs felt easier than previous leg session</x:v>
      </x:c>
      <x:c r="M209" s="170" t="str">
        <x:v>Working</x:v>
      </x:c>
      <x:c r="N209" s="170" t="n">
        <x:v>2</x:v>
      </x:c>
    </x:row>
    <x:row r="210">
      <x:c r="A210" s="220" t="n">
        <x:v>46248</x:v>
      </x:c>
      <x:c r="B210" s="170" t="str">
        <x:v>Shoulders</x:v>
      </x:c>
      <x:c r="C210" s="170" t="str">
        <x:v>Dumbbell Shoulder Press</x:v>
      </x:c>
      <x:c r="D210" s="170" t="n">
        <x:v>1</x:v>
      </x:c>
      <x:c r="E210" s="170" t="n">
        <x:v>15</x:v>
      </x:c>
      <x:c r="F210" s="170" t="str">
        <x:v>kg each dumbbell</x:v>
      </x:c>
      <x:c r="G210" s="170" t="n">
        <x:v>15</x:v>
      </x:c>
      <x:c r="H210" s="170" t="str">
        <x:v>No assistance reported</x:v>
      </x:c>
      <x:c r="I210" s="170" t="str">
        <x:v>No pain</x:v>
      </x:c>
      <x:c r="J210" s="170" t="str">
        <x:v>Medium final</x:v>
      </x:c>
      <x:c r="K210" s="170" t="str">
        <x:v>Good</x:v>
      </x:c>
      <x:c r="L210" s="170"/>
      <x:c r="M210" s="170" t="str">
        <x:v>Working</x:v>
      </x:c>
      <x:c r="N210" s="170" t="n">
        <x:v>3</x:v>
      </x:c>
    </x:row>
    <x:row r="211">
      <x:c r="A211" s="220" t="n">
        <x:v>46248</x:v>
      </x:c>
      <x:c r="B211" s="170" t="str">
        <x:v>Shoulders</x:v>
      </x:c>
      <x:c r="C211" s="170" t="str">
        <x:v>Dumbbell Shoulder Press</x:v>
      </x:c>
      <x:c r="D211" s="170" t="n">
        <x:v>2</x:v>
      </x:c>
      <x:c r="E211" s="170" t="n">
        <x:v>17.5</x:v>
      </x:c>
      <x:c r="F211" s="170" t="str">
        <x:v>kg each dumbbell</x:v>
      </x:c>
      <x:c r="G211" s="170" t="n">
        <x:v>12</x:v>
      </x:c>
      <x:c r="H211" s="170" t="str">
        <x:v>No assistance reported</x:v>
      </x:c>
      <x:c r="I211" s="170" t="str">
        <x:v>No pain</x:v>
      </x:c>
      <x:c r="J211" s="170" t="str">
        <x:v>Medium final</x:v>
      </x:c>
      <x:c r="K211" s="170" t="str">
        <x:v>Good</x:v>
      </x:c>
      <x:c r="L211" s="170"/>
      <x:c r="M211" s="170" t="str">
        <x:v>Working</x:v>
      </x:c>
      <x:c r="N211" s="170" t="n">
        <x:v>2</x:v>
      </x:c>
    </x:row>
    <x:row r="212">
      <x:c r="A212" s="220" t="n">
        <x:v>46248</x:v>
      </x:c>
      <x:c r="B212" s="170" t="str">
        <x:v>Shoulders</x:v>
      </x:c>
      <x:c r="C212" s="170" t="str">
        <x:v>Dumbbell Shoulder Press</x:v>
      </x:c>
      <x:c r="D212" s="170" t="n">
        <x:v>3</x:v>
      </x:c>
      <x:c r="E212" s="170" t="n">
        <x:v>20</x:v>
      </x:c>
      <x:c r="F212" s="170" t="str">
        <x:v>kg each dumbbell</x:v>
      </x:c>
      <x:c r="G212" s="170" t="n">
        <x:v>10</x:v>
      </x:c>
      <x:c r="H212" s="170" t="str">
        <x:v>No assistance reported</x:v>
      </x:c>
      <x:c r="I212" s="170" t="str">
        <x:v>No pain</x:v>
      </x:c>
      <x:c r="J212" s="170" t="str">
        <x:v>Medium final</x:v>
      </x:c>
      <x:c r="K212" s="170" t="str">
        <x:v>Good</x:v>
      </x:c>
      <x:c r="L212" s="170"/>
      <x:c r="M212" s="170" t="str">
        <x:v>Working</x:v>
      </x:c>
      <x:c r="N212" s="170" t="n">
        <x:v>1</x:v>
      </x:c>
    </x:row>
    <x:row r="213">
      <x:c r="A213" s="220" t="n">
        <x:v>46248</x:v>
      </x:c>
      <x:c r="B213" s="170" t="str">
        <x:v>Shoulders</x:v>
      </x:c>
      <x:c r="C213" s="170" t="str">
        <x:v>Dumbbell Shoulder Press</x:v>
      </x:c>
      <x:c r="D213" s="170" t="n">
        <x:v>4</x:v>
      </x:c>
      <x:c r="E213" s="170" t="n">
        <x:v>22.5</x:v>
      </x:c>
      <x:c r="F213" s="170" t="str">
        <x:v>kg each dumbbell</x:v>
      </x:c>
      <x:c r="G213" s="170" t="n">
        <x:v>8</x:v>
      </x:c>
      <x:c r="H213" s="170" t="str">
        <x:v>No assistance reported</x:v>
      </x:c>
      <x:c r="I213" s="170" t="str">
        <x:v>No pain</x:v>
      </x:c>
      <x:c r="J213" s="170" t="str">
        <x:v>Medium final</x:v>
      </x:c>
      <x:c r="K213" s="170" t="str">
        <x:v>Good</x:v>
      </x:c>
      <x:c r="L213" s="170"/>
      <x:c r="M213" s="170" t="str">
        <x:v>Working</x:v>
      </x:c>
      <x:c r="N213" s="170" t="n">
        <x:v>1</x:v>
      </x:c>
    </x:row>
    <x:row r="214">
      <x:c r="A214" s="220" t="n">
        <x:v>46248</x:v>
      </x:c>
      <x:c r="B214" s="170" t="str">
        <x:v>Shoulders</x:v>
      </x:c>
      <x:c r="C214" s="170" t="str">
        <x:v>Plate-Loaded Lateral Raise Machine</x:v>
      </x:c>
      <x:c r="D214" s="170" t="n">
        <x:v>1</x:v>
      </x:c>
      <x:c r="E214" s="170" t="str">
        <x:v>Free machine</x:v>
      </x:c>
      <x:c r="F214" s="170" t="str">
        <x:v>machine resistance only</x:v>
      </x:c>
      <x:c r="G214" s="170" t="n">
        <x:v>15</x:v>
      </x:c>
      <x:c r="H214" s="170" t="str">
        <x:v>Reported as free set plus 2.5 kg/side repeated twice; total loaded-set count To verify</x:v>
      </x:c>
      <x:c r="I214" s="170" t="str">
        <x:v>No pain</x:v>
      </x:c>
      <x:c r="J214" s="170" t="str">
        <x:v>Medium final</x:v>
      </x:c>
      <x:c r="K214" s="170" t="str">
        <x:v>Good</x:v>
      </x:c>
      <x:c r="L214" s="170" t="str">
        <x:v>Preserved as three 2.5 kg/side sets pending verification</x:v>
      </x:c>
      <x:c r="M214" s="170" t="str">
        <x:v>Working</x:v>
      </x:c>
      <x:c r="N214" s="170" t="n">
        <x:v>2</x:v>
      </x:c>
    </x:row>
    <x:row r="215">
      <x:c r="A215" s="220" t="n">
        <x:v>46248</x:v>
      </x:c>
      <x:c r="B215" s="170" t="str">
        <x:v>Shoulders</x:v>
      </x:c>
      <x:c r="C215" s="170" t="str">
        <x:v>Plate-Loaded Lateral Raise Machine</x:v>
      </x:c>
      <x:c r="D215" s="170" t="n">
        <x:v>2</x:v>
      </x:c>
      <x:c r="E215" s="170" t="n">
        <x:v>2.5</x:v>
      </x:c>
      <x:c r="F215" s="170" t="str">
        <x:v>kg plates each side</x:v>
      </x:c>
      <x:c r="G215" s="170" t="n">
        <x:v>15</x:v>
      </x:c>
      <x:c r="H215" s="170" t="str">
        <x:v>Reported as free set plus 2.5 kg/side repeated twice; total loaded-set count To verify</x:v>
      </x:c>
      <x:c r="I215" s="170" t="str">
        <x:v>No pain</x:v>
      </x:c>
      <x:c r="J215" s="170" t="str">
        <x:v>Medium final</x:v>
      </x:c>
      <x:c r="K215" s="170" t="str">
        <x:v>Good</x:v>
      </x:c>
      <x:c r="L215" s="170" t="str">
        <x:v>Preserved as three 2.5 kg/side sets pending verification</x:v>
      </x:c>
      <x:c r="M215" s="170" t="str">
        <x:v>Working</x:v>
      </x:c>
      <x:c r="N215" s="170" t="n">
        <x:v>2</x:v>
      </x:c>
    </x:row>
    <x:row r="216">
      <x:c r="A216" s="220" t="n">
        <x:v>46248</x:v>
      </x:c>
      <x:c r="B216" s="170" t="str">
        <x:v>Shoulders</x:v>
      </x:c>
      <x:c r="C216" s="170" t="str">
        <x:v>Plate-Loaded Lateral Raise Machine</x:v>
      </x:c>
      <x:c r="D216" s="170" t="n">
        <x:v>3</x:v>
      </x:c>
      <x:c r="E216" s="170" t="n">
        <x:v>2.5</x:v>
      </x:c>
      <x:c r="F216" s="170" t="str">
        <x:v>kg plates each side</x:v>
      </x:c>
      <x:c r="G216" s="170" t="n">
        <x:v>15</x:v>
      </x:c>
      <x:c r="H216" s="170" t="str">
        <x:v>Reported as free set plus 2.5 kg/side repeated twice; total loaded-set count To verify</x:v>
      </x:c>
      <x:c r="I216" s="170" t="str">
        <x:v>No pain</x:v>
      </x:c>
      <x:c r="J216" s="170" t="str">
        <x:v>Medium final</x:v>
      </x:c>
      <x:c r="K216" s="170" t="str">
        <x:v>Good</x:v>
      </x:c>
      <x:c r="L216" s="170" t="str">
        <x:v>Preserved as three 2.5 kg/side sets pending verification</x:v>
      </x:c>
      <x:c r="M216" s="170" t="str">
        <x:v>Working</x:v>
      </x:c>
      <x:c r="N216" s="170" t="n">
        <x:v>2</x:v>
      </x:c>
    </x:row>
    <x:row r="217">
      <x:c r="A217" s="220" t="n">
        <x:v>46248</x:v>
      </x:c>
      <x:c r="B217" s="170" t="str">
        <x:v>Shoulders</x:v>
      </x:c>
      <x:c r="C217" s="170" t="str">
        <x:v>Plate-Loaded Lateral Raise Machine</x:v>
      </x:c>
      <x:c r="D217" s="170" t="n">
        <x:v>4</x:v>
      </x:c>
      <x:c r="E217" s="170" t="n">
        <x:v>2.5</x:v>
      </x:c>
      <x:c r="F217" s="170" t="str">
        <x:v>kg plates each side</x:v>
      </x:c>
      <x:c r="G217" s="170" t="n">
        <x:v>15</x:v>
      </x:c>
      <x:c r="H217" s="170" t="str">
        <x:v>Reported as free set plus 2.5 kg/side repeated twice; total loaded-set count To verify</x:v>
      </x:c>
      <x:c r="I217" s="170" t="str">
        <x:v>No pain</x:v>
      </x:c>
      <x:c r="J217" s="170" t="str">
        <x:v>Medium final</x:v>
      </x:c>
      <x:c r="K217" s="170" t="str">
        <x:v>Good</x:v>
      </x:c>
      <x:c r="L217" s="170" t="str">
        <x:v>Preserved as three 2.5 kg/side sets pending verification</x:v>
      </x:c>
      <x:c r="M217" s="170" t="str">
        <x:v>Working</x:v>
      </x:c>
      <x:c r="N217" s="170" t="n">
        <x:v>2</x:v>
      </x:c>
    </x:row>
    <x:row r="218">
      <x:c r="A218" s="220" t="n">
        <x:v>46248</x:v>
      </x:c>
      <x:c r="B218" s="170" t="str">
        <x:v>Shoulders</x:v>
      </x:c>
      <x:c r="C218" s="170" t="str">
        <x:v>Reverse Pec Deck</x:v>
      </x:c>
      <x:c r="D218" s="170" t="n">
        <x:v>1</x:v>
      </x:c>
      <x:c r="E218" s="170" t="n">
        <x:v>25</x:v>
      </x:c>
      <x:c r="F218" s="170" t="str">
        <x:v>kg total stack</x:v>
      </x:c>
      <x:c r="G218" s="170" t="n">
        <x:v>16</x:v>
      </x:c>
      <x:c r="H218" s="170" t="str">
        <x:v>No assistance reported</x:v>
      </x:c>
      <x:c r="I218" s="170" t="str">
        <x:v>No pain</x:v>
      </x:c>
      <x:c r="J218" s="170" t="str">
        <x:v>Medium final</x:v>
      </x:c>
      <x:c r="K218" s="170" t="str">
        <x:v>Good</x:v>
      </x:c>
      <x:c r="L218" s="170"/>
      <x:c r="M218" s="170" t="str">
        <x:v>Working</x:v>
      </x:c>
      <x:c r="N218" s="170" t="n">
        <x:v>3</x:v>
      </x:c>
    </x:row>
    <x:row r="219">
      <x:c r="A219" s="220" t="n">
        <x:v>46248</x:v>
      </x:c>
      <x:c r="B219" s="170" t="str">
        <x:v>Shoulders</x:v>
      </x:c>
      <x:c r="C219" s="170" t="str">
        <x:v>Reverse Pec Deck</x:v>
      </x:c>
      <x:c r="D219" s="170" t="n">
        <x:v>2</x:v>
      </x:c>
      <x:c r="E219" s="170" t="n">
        <x:v>30</x:v>
      </x:c>
      <x:c r="F219" s="170" t="str">
        <x:v>kg total stack</x:v>
      </x:c>
      <x:c r="G219" s="170" t="n">
        <x:v>12</x:v>
      </x:c>
      <x:c r="H219" s="170" t="str">
        <x:v>No assistance reported</x:v>
      </x:c>
      <x:c r="I219" s="170" t="str">
        <x:v>No pain</x:v>
      </x:c>
      <x:c r="J219" s="170" t="str">
        <x:v>Medium final</x:v>
      </x:c>
      <x:c r="K219" s="170" t="str">
        <x:v>Good</x:v>
      </x:c>
      <x:c r="L219" s="170"/>
      <x:c r="M219" s="170" t="str">
        <x:v>Working</x:v>
      </x:c>
      <x:c r="N219" s="170" t="n">
        <x:v>2</x:v>
      </x:c>
    </x:row>
    <x:row r="220">
      <x:c r="A220" s="220" t="n">
        <x:v>46248</x:v>
      </x:c>
      <x:c r="B220" s="170" t="str">
        <x:v>Shoulders</x:v>
      </x:c>
      <x:c r="C220" s="170" t="str">
        <x:v>Reverse Pec Deck</x:v>
      </x:c>
      <x:c r="D220" s="170" t="n">
        <x:v>3</x:v>
      </x:c>
      <x:c r="E220" s="170" t="n">
        <x:v>35</x:v>
      </x:c>
      <x:c r="F220" s="170" t="str">
        <x:v>kg total stack</x:v>
      </x:c>
      <x:c r="G220" s="170" t="n">
        <x:v>10</x:v>
      </x:c>
      <x:c r="H220" s="170" t="str">
        <x:v>No assistance reported</x:v>
      </x:c>
      <x:c r="I220" s="170" t="str">
        <x:v>No pain</x:v>
      </x:c>
      <x:c r="J220" s="170" t="str">
        <x:v>Medium final</x:v>
      </x:c>
      <x:c r="K220" s="170" t="str">
        <x:v>Good</x:v>
      </x:c>
      <x:c r="L220" s="170"/>
      <x:c r="M220" s="170" t="str">
        <x:v>Working</x:v>
      </x:c>
      <x:c r="N220" s="170" t="n">
        <x:v>1</x:v>
      </x:c>
    </x:row>
    <x:row r="221">
      <x:c r="A221" s="220" t="n">
        <x:v>46248</x:v>
      </x:c>
      <x:c r="B221" s="170" t="str">
        <x:v>Shoulders</x:v>
      </x:c>
      <x:c r="C221" s="170" t="str">
        <x:v>Cable Upright Row</x:v>
      </x:c>
      <x:c r="D221" s="170" t="n">
        <x:v>1</x:v>
      </x:c>
      <x:c r="E221" s="170" t="n">
        <x:v>30</x:v>
      </x:c>
      <x:c r="F221" s="170" t="str">
        <x:v>kg total cable stack</x:v>
      </x:c>
      <x:c r="G221" s="170" t="n">
        <x:v>15</x:v>
      </x:c>
      <x:c r="H221" s="170" t="str">
        <x:v>No assistance reported</x:v>
      </x:c>
      <x:c r="I221" s="170" t="str">
        <x:v>No pain</x:v>
      </x:c>
      <x:c r="J221" s="170" t="str">
        <x:v>Medium final</x:v>
      </x:c>
      <x:c r="K221" s="170" t="str">
        <x:v>Good</x:v>
      </x:c>
      <x:c r="L221" s="170"/>
      <x:c r="M221" s="170" t="str">
        <x:v>Working</x:v>
      </x:c>
      <x:c r="N221" s="170" t="n">
        <x:v>3</x:v>
      </x:c>
    </x:row>
    <x:row r="222">
      <x:c r="A222" s="220" t="n">
        <x:v>46248</x:v>
      </x:c>
      <x:c r="B222" s="170" t="str">
        <x:v>Shoulders</x:v>
      </x:c>
      <x:c r="C222" s="170" t="str">
        <x:v>Cable Upright Row</x:v>
      </x:c>
      <x:c r="D222" s="170" t="n">
        <x:v>2</x:v>
      </x:c>
      <x:c r="E222" s="170" t="n">
        <x:v>40</x:v>
      </x:c>
      <x:c r="F222" s="170" t="str">
        <x:v>kg total cable stack</x:v>
      </x:c>
      <x:c r="G222" s="170" t="n">
        <x:v>14</x:v>
      </x:c>
      <x:c r="H222" s="170" t="str">
        <x:v>No assistance reported</x:v>
      </x:c>
      <x:c r="I222" s="170" t="str">
        <x:v>No pain</x:v>
      </x:c>
      <x:c r="J222" s="170" t="str">
        <x:v>Medium final</x:v>
      </x:c>
      <x:c r="K222" s="170" t="str">
        <x:v>Good</x:v>
      </x:c>
      <x:c r="L222" s="170"/>
      <x:c r="M222" s="170" t="str">
        <x:v>Working</x:v>
      </x:c>
      <x:c r="N222" s="170" t="n">
        <x:v>2</x:v>
      </x:c>
    </x:row>
    <x:row r="223">
      <x:c r="A223" s="220" t="n">
        <x:v>46248</x:v>
      </x:c>
      <x:c r="B223" s="170" t="str">
        <x:v>Shoulders</x:v>
      </x:c>
      <x:c r="C223" s="170" t="str">
        <x:v>Cable Upright Row</x:v>
      </x:c>
      <x:c r="D223" s="170" t="n">
        <x:v>3</x:v>
      </x:c>
      <x:c r="E223" s="170" t="n">
        <x:v>50</x:v>
      </x:c>
      <x:c r="F223" s="170" t="str">
        <x:v>kg total cable stack</x:v>
      </x:c>
      <x:c r="G223" s="170" t="n">
        <x:v>14</x:v>
      </x:c>
      <x:c r="H223" s="170" t="str">
        <x:v>No assistance reported</x:v>
      </x:c>
      <x:c r="I223" s="170" t="str">
        <x:v>No pain</x:v>
      </x:c>
      <x:c r="J223" s="170" t="str">
        <x:v>Medium final</x:v>
      </x:c>
      <x:c r="K223" s="170" t="str">
        <x:v>Good</x:v>
      </x:c>
      <x:c r="L223" s="170"/>
      <x:c r="M223" s="170" t="str">
        <x:v>Working</x:v>
      </x:c>
      <x:c r="N223" s="170" t="n">
        <x:v>1</x:v>
      </x:c>
    </x:row>
    <x:row r="224">
      <x:c r="A224" s="220" t="n">
        <x:v>46248</x:v>
      </x:c>
      <x:c r="B224" s="170" t="str">
        <x:v>Shoulders</x:v>
      </x:c>
      <x:c r="C224" s="170" t="str">
        <x:v>Single-Arm Cable Lateral Raise</x:v>
      </x:c>
      <x:c r="D224" s="170" t="n">
        <x:v>1</x:v>
      </x:c>
      <x:c r="E224" s="170" t="n">
        <x:v>5</x:v>
      </x:c>
      <x:c r="F224" s="170" t="str">
        <x:v>kg stack; each arm</x:v>
      </x:c>
      <x:c r="G224" s="170" t="n">
        <x:v>15</x:v>
      </x:c>
      <x:c r="H224" s="170" t="str">
        <x:v>No assistance reported</x:v>
      </x:c>
      <x:c r="I224" s="170" t="str">
        <x:v>No pain</x:v>
      </x:c>
      <x:c r="J224" s="170" t="str">
        <x:v>Medium final</x:v>
      </x:c>
      <x:c r="K224" s="170" t="str">
        <x:v>Good</x:v>
      </x:c>
      <x:c r="L224" s="170"/>
      <x:c r="M224" s="170" t="str">
        <x:v>Working</x:v>
      </x:c>
      <x:c r="N224" s="170" t="n">
        <x:v>3</x:v>
      </x:c>
    </x:row>
    <x:row r="225">
      <x:c r="A225" s="220" t="n">
        <x:v>46248</x:v>
      </x:c>
      <x:c r="B225" s="170" t="str">
        <x:v>Shoulders</x:v>
      </x:c>
      <x:c r="C225" s="170" t="str">
        <x:v>Single-Arm Cable Lateral Raise</x:v>
      </x:c>
      <x:c r="D225" s="170" t="n">
        <x:v>2</x:v>
      </x:c>
      <x:c r="E225" s="170" t="n">
        <x:v>10</x:v>
      </x:c>
      <x:c r="F225" s="170" t="str">
        <x:v>kg stack; each arm</x:v>
      </x:c>
      <x:c r="G225" s="170" t="n">
        <x:v>12</x:v>
      </x:c>
      <x:c r="H225" s="170" t="str">
        <x:v>No assistance reported</x:v>
      </x:c>
      <x:c r="I225" s="170" t="str">
        <x:v>No pain</x:v>
      </x:c>
      <x:c r="J225" s="170" t="str">
        <x:v>Medium final</x:v>
      </x:c>
      <x:c r="K225" s="170" t="str">
        <x:v>Good</x:v>
      </x:c>
      <x:c r="L225" s="170"/>
      <x:c r="M225" s="170" t="str">
        <x:v>Working</x:v>
      </x:c>
      <x:c r="N225" s="170" t="n">
        <x:v>2</x:v>
      </x:c>
    </x:row>
    <x:row r="226">
      <x:c r="A226" s="220" t="n">
        <x:v>46248</x:v>
      </x:c>
      <x:c r="B226" s="170" t="str">
        <x:v>Shoulders</x:v>
      </x:c>
      <x:c r="C226" s="170" t="str">
        <x:v>Dumbbell Shrugs</x:v>
      </x:c>
      <x:c r="D226" s="170" t="n">
        <x:v>1</x:v>
      </x:c>
      <x:c r="E226" s="170" t="n">
        <x:v>30</x:v>
      </x:c>
      <x:c r="F226" s="170" t="str">
        <x:v>kg each dumbbell</x:v>
      </x:c>
      <x:c r="G226" s="170" t="n">
        <x:v>15</x:v>
      </x:c>
      <x:c r="H226" s="170" t="str">
        <x:v>No assistance reported</x:v>
      </x:c>
      <x:c r="I226" s="170" t="str">
        <x:v>No pain</x:v>
      </x:c>
      <x:c r="J226" s="170" t="str">
        <x:v>Medium final</x:v>
      </x:c>
      <x:c r="K226" s="170" t="str">
        <x:v>Good</x:v>
      </x:c>
      <x:c r="L226" s="170"/>
      <x:c r="M226" s="170" t="str">
        <x:v>Working</x:v>
      </x:c>
      <x:c r="N226" s="170" t="n">
        <x:v>2</x:v>
      </x:c>
    </x:row>
    <x:row r="227">
      <x:c r="A227" s="220" t="n">
        <x:v>46248</x:v>
      </x:c>
      <x:c r="B227" s="170" t="str">
        <x:v>Shoulders</x:v>
      </x:c>
      <x:c r="C227" s="170" t="str">
        <x:v>Dumbbell Shrugs</x:v>
      </x:c>
      <x:c r="D227" s="170" t="n">
        <x:v>2</x:v>
      </x:c>
      <x:c r="E227" s="170" t="n">
        <x:v>35</x:v>
      </x:c>
      <x:c r="F227" s="170" t="str">
        <x:v>kg each dumbbell</x:v>
      </x:c>
      <x:c r="G227" s="170" t="n">
        <x:v>12</x:v>
      </x:c>
      <x:c r="H227" s="170" t="str">
        <x:v>No assistance reported</x:v>
      </x:c>
      <x:c r="I227" s="170" t="str">
        <x:v>No pain</x:v>
      </x:c>
      <x:c r="J227" s="170" t="str">
        <x:v>Medium final</x:v>
      </x:c>
      <x:c r="K227" s="170" t="str">
        <x:v>Good</x:v>
      </x:c>
      <x:c r="L227" s="170"/>
      <x:c r="M227" s="170" t="str">
        <x:v>Working</x:v>
      </x:c>
      <x:c r="N227" s="170" t="n">
        <x:v>2</x:v>
      </x:c>
    </x:row>
    <x:row r="228">
      <x:c r="A228" s="220" t="n">
        <x:v>46248</x:v>
      </x:c>
      <x:c r="B228" s="170" t="str">
        <x:v>Shoulders</x:v>
      </x:c>
      <x:c r="C228" s="170" t="str">
        <x:v>Dumbbell Shrugs</x:v>
      </x:c>
      <x:c r="D228" s="170" t="n">
        <x:v>3</x:v>
      </x:c>
      <x:c r="E228" s="170" t="n">
        <x:v>40</x:v>
      </x:c>
      <x:c r="F228" s="170" t="str">
        <x:v>kg each dumbbell</x:v>
      </x:c>
      <x:c r="G228" s="170" t="n">
        <x:v>10</x:v>
      </x:c>
      <x:c r="H228" s="170" t="str">
        <x:v>No assistance reported</x:v>
      </x:c>
      <x:c r="I228" s="170" t="str">
        <x:v>No pain</x:v>
      </x:c>
      <x:c r="J228" s="170" t="str">
        <x:v>Medium final</x:v>
      </x:c>
      <x:c r="K228" s="170" t="str">
        <x:v>Good</x:v>
      </x:c>
      <x:c r="L228" s="170"/>
      <x:c r="M228" s="170" t="str">
        <x:v>Working</x:v>
      </x:c>
      <x:c r="N228" s="170" t="n">
        <x:v>2</x:v>
      </x:c>
    </x:row>
    <x:row r="229">
      <x:c r="A229" s="220" t="n">
        <x:v>46249</x:v>
      </x:c>
      <x:c r="B229" s="170" t="str">
        <x:v>Triceps</x:v>
      </x:c>
      <x:c r="C229" s="170" t="str">
        <x:v>Rope Pushdown</x:v>
      </x:c>
      <x:c r="D229" s="170" t="n">
        <x:v>1</x:v>
      </x:c>
      <x:c r="E229" s="170" t="n">
        <x:v>30</x:v>
      </x:c>
      <x:c r="F229" s="170" t="str">
        <x:v>kg total cable stack</x:v>
      </x:c>
      <x:c r="G229" s="170" t="n">
        <x:v>16</x:v>
      </x:c>
      <x:c r="H229" s="170" t="str">
        <x:v>No forced repetitions</x:v>
      </x:c>
      <x:c r="I229" s="170" t="str">
        <x:v>No pain</x:v>
      </x:c>
      <x:c r="J229" s="170" t="str">
        <x:v>Medium final</x:v>
      </x:c>
      <x:c r="K229" s="170" t="str">
        <x:v>Very good</x:v>
      </x:c>
      <x:c r="L229" s="170" t="str">
        <x:v>20 direct sets exceeded planned 18-set cap</x:v>
      </x:c>
      <x:c r="M229" s="170" t="str">
        <x:v>Working</x:v>
      </x:c>
      <x:c r="N229" s="170" t="n">
        <x:v>3</x:v>
      </x:c>
    </x:row>
    <x:row r="230">
      <x:c r="A230" s="220" t="n">
        <x:v>46249</x:v>
      </x:c>
      <x:c r="B230" s="170" t="str">
        <x:v>Triceps</x:v>
      </x:c>
      <x:c r="C230" s="170" t="str">
        <x:v>Rope Pushdown</x:v>
      </x:c>
      <x:c r="D230" s="170" t="n">
        <x:v>2</x:v>
      </x:c>
      <x:c r="E230" s="170" t="n">
        <x:v>35</x:v>
      </x:c>
      <x:c r="F230" s="170" t="str">
        <x:v>kg total cable stack</x:v>
      </x:c>
      <x:c r="G230" s="170" t="n">
        <x:v>13</x:v>
      </x:c>
      <x:c r="H230" s="170" t="str">
        <x:v>No forced repetitions</x:v>
      </x:c>
      <x:c r="I230" s="170" t="str">
        <x:v>No pain</x:v>
      </x:c>
      <x:c r="J230" s="170" t="str">
        <x:v>Medium final</x:v>
      </x:c>
      <x:c r="K230" s="170" t="str">
        <x:v>Very good</x:v>
      </x:c>
      <x:c r="L230" s="170" t="str">
        <x:v>20 direct sets exceeded planned 18-set cap</x:v>
      </x:c>
      <x:c r="M230" s="170" t="str">
        <x:v>Working</x:v>
      </x:c>
      <x:c r="N230" s="170" t="n">
        <x:v>3</x:v>
      </x:c>
    </x:row>
    <x:row r="231">
      <x:c r="A231" s="220" t="n">
        <x:v>46249</x:v>
      </x:c>
      <x:c r="B231" s="170" t="str">
        <x:v>Triceps</x:v>
      </x:c>
      <x:c r="C231" s="170" t="str">
        <x:v>Rope Pushdown</x:v>
      </x:c>
      <x:c r="D231" s="170" t="n">
        <x:v>3</x:v>
      </x:c>
      <x:c r="E231" s="170" t="n">
        <x:v>40</x:v>
      </x:c>
      <x:c r="F231" s="170" t="str">
        <x:v>kg total cable stack</x:v>
      </x:c>
      <x:c r="G231" s="170" t="n">
        <x:v>10</x:v>
      </x:c>
      <x:c r="H231" s="170" t="str">
        <x:v>No forced repetitions</x:v>
      </x:c>
      <x:c r="I231" s="170" t="str">
        <x:v>No pain</x:v>
      </x:c>
      <x:c r="J231" s="170" t="str">
        <x:v>Medium final</x:v>
      </x:c>
      <x:c r="K231" s="170" t="str">
        <x:v>Very good</x:v>
      </x:c>
      <x:c r="L231" s="170" t="str">
        <x:v>20 direct sets exceeded planned 18-set cap</x:v>
      </x:c>
      <x:c r="M231" s="170" t="str">
        <x:v>Working</x:v>
      </x:c>
      <x:c r="N231" s="170" t="n">
        <x:v>2</x:v>
      </x:c>
    </x:row>
    <x:row r="232">
      <x:c r="A232" s="220" t="n">
        <x:v>46249</x:v>
      </x:c>
      <x:c r="B232" s="170" t="str">
        <x:v>Triceps</x:v>
      </x:c>
      <x:c r="C232" s="170" t="str">
        <x:v>Rope Pushdown</x:v>
      </x:c>
      <x:c r="D232" s="170" t="n">
        <x:v>4</x:v>
      </x:c>
      <x:c r="E232" s="170" t="n">
        <x:v>40</x:v>
      </x:c>
      <x:c r="F232" s="170" t="str">
        <x:v>kg total cable stack</x:v>
      </x:c>
      <x:c r="G232" s="170" t="n">
        <x:v>10</x:v>
      </x:c>
      <x:c r="H232" s="170" t="str">
        <x:v>No forced repetitions</x:v>
      </x:c>
      <x:c r="I232" s="170" t="str">
        <x:v>No pain</x:v>
      </x:c>
      <x:c r="J232" s="170" t="str">
        <x:v>Medium final</x:v>
      </x:c>
      <x:c r="K232" s="170" t="str">
        <x:v>Very good</x:v>
      </x:c>
      <x:c r="L232" s="170" t="str">
        <x:v>20 direct sets exceeded planned 18-set cap</x:v>
      </x:c>
      <x:c r="M232" s="170" t="str">
        <x:v>Working</x:v>
      </x:c>
      <x:c r="N232" s="170" t="n">
        <x:v>2</x:v>
      </x:c>
    </x:row>
    <x:row r="233">
      <x:c r="A233" s="220" t="n">
        <x:v>46249</x:v>
      </x:c>
      <x:c r="B233" s="170" t="str">
        <x:v>Triceps</x:v>
      </x:c>
      <x:c r="C233" s="170" t="str">
        <x:v>Straight-Bar Pushdown</x:v>
      </x:c>
      <x:c r="D233" s="170" t="n">
        <x:v>1</x:v>
      </x:c>
      <x:c r="E233" s="170" t="n">
        <x:v>45</x:v>
      </x:c>
      <x:c r="F233" s="170" t="str">
        <x:v>kg total cable stack</x:v>
      </x:c>
      <x:c r="G233" s="170" t="n">
        <x:v>15</x:v>
      </x:c>
      <x:c r="H233" s="170" t="str">
        <x:v>No forced repetitions</x:v>
      </x:c>
      <x:c r="I233" s="170" t="str">
        <x:v>No pain</x:v>
      </x:c>
      <x:c r="J233" s="170" t="str">
        <x:v>Medium final</x:v>
      </x:c>
      <x:c r="K233" s="170" t="str">
        <x:v>Very good</x:v>
      </x:c>
      <x:c r="L233" s="170" t="str">
        <x:v>20 direct sets exceeded planned 18-set cap</x:v>
      </x:c>
      <x:c r="M233" s="170" t="str">
        <x:v>Working</x:v>
      </x:c>
      <x:c r="N233" s="170" t="n">
        <x:v>2</x:v>
      </x:c>
    </x:row>
    <x:row r="234">
      <x:c r="A234" s="220" t="n">
        <x:v>46249</x:v>
      </x:c>
      <x:c r="B234" s="170" t="str">
        <x:v>Triceps</x:v>
      </x:c>
      <x:c r="C234" s="170" t="str">
        <x:v>Straight-Bar Pushdown</x:v>
      </x:c>
      <x:c r="D234" s="170" t="n">
        <x:v>2</x:v>
      </x:c>
      <x:c r="E234" s="170" t="n">
        <x:v>50</x:v>
      </x:c>
      <x:c r="F234" s="170" t="str">
        <x:v>kg total cable stack</x:v>
      </x:c>
      <x:c r="G234" s="170" t="n">
        <x:v>13</x:v>
      </x:c>
      <x:c r="H234" s="170" t="str">
        <x:v>No forced repetitions</x:v>
      </x:c>
      <x:c r="I234" s="170" t="str">
        <x:v>No pain</x:v>
      </x:c>
      <x:c r="J234" s="170" t="str">
        <x:v>Medium final</x:v>
      </x:c>
      <x:c r="K234" s="170" t="str">
        <x:v>Very good</x:v>
      </x:c>
      <x:c r="L234" s="170" t="str">
        <x:v>20 direct sets exceeded planned 18-set cap</x:v>
      </x:c>
      <x:c r="M234" s="170" t="str">
        <x:v>Working</x:v>
      </x:c>
      <x:c r="N234" s="170" t="n">
        <x:v>2</x:v>
      </x:c>
    </x:row>
    <x:row r="235">
      <x:c r="A235" s="220" t="n">
        <x:v>46249</x:v>
      </x:c>
      <x:c r="B235" s="170" t="str">
        <x:v>Triceps</x:v>
      </x:c>
      <x:c r="C235" s="170" t="str">
        <x:v>Straight-Bar Pushdown</x:v>
      </x:c>
      <x:c r="D235" s="170" t="n">
        <x:v>3</x:v>
      </x:c>
      <x:c r="E235" s="170" t="n">
        <x:v>55</x:v>
      </x:c>
      <x:c r="F235" s="170" t="str">
        <x:v>kg total cable stack</x:v>
      </x:c>
      <x:c r="G235" s="170" t="n">
        <x:v>10</x:v>
      </x:c>
      <x:c r="H235" s="170" t="str">
        <x:v>No forced repetitions</x:v>
      </x:c>
      <x:c r="I235" s="170" t="str">
        <x:v>No pain</x:v>
      </x:c>
      <x:c r="J235" s="170" t="str">
        <x:v>Medium final</x:v>
      </x:c>
      <x:c r="K235" s="170" t="str">
        <x:v>Very good</x:v>
      </x:c>
      <x:c r="L235" s="170" t="str">
        <x:v>20 direct sets exceeded planned 18-set cap</x:v>
      </x:c>
      <x:c r="M235" s="170" t="str">
        <x:v>Working</x:v>
      </x:c>
      <x:c r="N235" s="170" t="n">
        <x:v>2</x:v>
      </x:c>
    </x:row>
    <x:row r="236">
      <x:c r="A236" s="220" t="n">
        <x:v>46249</x:v>
      </x:c>
      <x:c r="B236" s="170" t="str">
        <x:v>Triceps</x:v>
      </x:c>
      <x:c r="C236" s="170" t="str">
        <x:v>Straight-Bar Pushdown</x:v>
      </x:c>
      <x:c r="D236" s="170" t="n">
        <x:v>4</x:v>
      </x:c>
      <x:c r="E236" s="170" t="n">
        <x:v>60</x:v>
      </x:c>
      <x:c r="F236" s="170" t="str">
        <x:v>kg total cable stack</x:v>
      </x:c>
      <x:c r="G236" s="170" t="n">
        <x:v>8</x:v>
      </x:c>
      <x:c r="H236" s="170" t="str">
        <x:v>No forced repetitions</x:v>
      </x:c>
      <x:c r="I236" s="170" t="str">
        <x:v>No pain</x:v>
      </x:c>
      <x:c r="J236" s="170" t="str">
        <x:v>Medium final</x:v>
      </x:c>
      <x:c r="K236" s="170" t="str">
        <x:v>Very good</x:v>
      </x:c>
      <x:c r="L236" s="170" t="str">
        <x:v>20 direct sets exceeded planned 18-set cap</x:v>
      </x:c>
      <x:c r="M236" s="170" t="str">
        <x:v>Working</x:v>
      </x:c>
      <x:c r="N236" s="170" t="n">
        <x:v>1</x:v>
      </x:c>
    </x:row>
    <x:row r="237">
      <x:c r="A237" s="220" t="n">
        <x:v>46249</x:v>
      </x:c>
      <x:c r="B237" s="170" t="str">
        <x:v>Triceps</x:v>
      </x:c>
      <x:c r="C237" s="170" t="str">
        <x:v>Overhead Rope Extension</x:v>
      </x:c>
      <x:c r="D237" s="170" t="n">
        <x:v>1</x:v>
      </x:c>
      <x:c r="E237" s="170" t="n">
        <x:v>30</x:v>
      </x:c>
      <x:c r="F237" s="170" t="str">
        <x:v>kg total cable stack</x:v>
      </x:c>
      <x:c r="G237" s="170" t="n">
        <x:v>15</x:v>
      </x:c>
      <x:c r="H237" s="170" t="str">
        <x:v>No forced repetitions</x:v>
      </x:c>
      <x:c r="I237" s="170" t="str">
        <x:v>No pain</x:v>
      </x:c>
      <x:c r="J237" s="170" t="str">
        <x:v>Medium final</x:v>
      </x:c>
      <x:c r="K237" s="170" t="str">
        <x:v>Very good</x:v>
      </x:c>
      <x:c r="L237" s="170" t="str">
        <x:v>20 direct sets exceeded planned 18-set cap</x:v>
      </x:c>
      <x:c r="M237" s="170" t="str">
        <x:v>Working</x:v>
      </x:c>
      <x:c r="N237" s="170" t="n">
        <x:v>3</x:v>
      </x:c>
    </x:row>
    <x:row r="238">
      <x:c r="A238" s="220" t="n">
        <x:v>46249</x:v>
      </x:c>
      <x:c r="B238" s="170" t="str">
        <x:v>Triceps</x:v>
      </x:c>
      <x:c r="C238" s="170" t="str">
        <x:v>Overhead Rope Extension</x:v>
      </x:c>
      <x:c r="D238" s="170" t="n">
        <x:v>2</x:v>
      </x:c>
      <x:c r="E238" s="170" t="n">
        <x:v>35</x:v>
      </x:c>
      <x:c r="F238" s="170" t="str">
        <x:v>kg total cable stack</x:v>
      </x:c>
      <x:c r="G238" s="170" t="n">
        <x:v>12</x:v>
      </x:c>
      <x:c r="H238" s="170" t="str">
        <x:v>No forced repetitions</x:v>
      </x:c>
      <x:c r="I238" s="170" t="str">
        <x:v>No pain</x:v>
      </x:c>
      <x:c r="J238" s="170" t="str">
        <x:v>Medium final</x:v>
      </x:c>
      <x:c r="K238" s="170" t="str">
        <x:v>Very good</x:v>
      </x:c>
      <x:c r="L238" s="170" t="str">
        <x:v>20 direct sets exceeded planned 18-set cap</x:v>
      </x:c>
      <x:c r="M238" s="170" t="str">
        <x:v>Working</x:v>
      </x:c>
      <x:c r="N238" s="170" t="n">
        <x:v>2</x:v>
      </x:c>
    </x:row>
    <x:row r="239">
      <x:c r="A239" s="220" t="n">
        <x:v>46249</x:v>
      </x:c>
      <x:c r="B239" s="170" t="str">
        <x:v>Triceps</x:v>
      </x:c>
      <x:c r="C239" s="170" t="str">
        <x:v>Overhead Rope Extension</x:v>
      </x:c>
      <x:c r="D239" s="170" t="n">
        <x:v>3</x:v>
      </x:c>
      <x:c r="E239" s="170" t="n">
        <x:v>40</x:v>
      </x:c>
      <x:c r="F239" s="170" t="str">
        <x:v>kg total cable stack</x:v>
      </x:c>
      <x:c r="G239" s="170" t="n">
        <x:v>10</x:v>
      </x:c>
      <x:c r="H239" s="170" t="str">
        <x:v>No forced repetitions</x:v>
      </x:c>
      <x:c r="I239" s="170" t="str">
        <x:v>No pain</x:v>
      </x:c>
      <x:c r="J239" s="170" t="str">
        <x:v>Medium final</x:v>
      </x:c>
      <x:c r="K239" s="170" t="str">
        <x:v>Very good</x:v>
      </x:c>
      <x:c r="L239" s="170" t="str">
        <x:v>20 direct sets exceeded planned 18-set cap</x:v>
      </x:c>
      <x:c r="M239" s="170" t="str">
        <x:v>Working</x:v>
      </x:c>
      <x:c r="N239" s="170" t="n">
        <x:v>2</x:v>
      </x:c>
    </x:row>
    <x:row r="240">
      <x:c r="A240" s="220" t="n">
        <x:v>46249</x:v>
      </x:c>
      <x:c r="B240" s="170" t="str">
        <x:v>Triceps</x:v>
      </x:c>
      <x:c r="C240" s="170" t="str">
        <x:v>Single-Arm Cable Pushdown</x:v>
      </x:c>
      <x:c r="D240" s="170" t="n">
        <x:v>1</x:v>
      </x:c>
      <x:c r="E240" s="170" t="n">
        <x:v>10</x:v>
      </x:c>
      <x:c r="F240" s="170" t="str">
        <x:v>kg stack; each arm</x:v>
      </x:c>
      <x:c r="G240" s="170" t="n">
        <x:v>15</x:v>
      </x:c>
      <x:c r="H240" s="170" t="str">
        <x:v>No forced repetitions</x:v>
      </x:c>
      <x:c r="I240" s="170" t="str">
        <x:v>No pain</x:v>
      </x:c>
      <x:c r="J240" s="170" t="str">
        <x:v>Medium final</x:v>
      </x:c>
      <x:c r="K240" s="170" t="str">
        <x:v>Very good</x:v>
      </x:c>
      <x:c r="L240" s="170" t="str">
        <x:v>20 direct sets exceeded planned 18-set cap</x:v>
      </x:c>
      <x:c r="M240" s="170" t="str">
        <x:v>Working</x:v>
      </x:c>
      <x:c r="N240" s="170" t="n">
        <x:v>3</x:v>
      </x:c>
    </x:row>
    <x:row r="241">
      <x:c r="A241" s="220" t="n">
        <x:v>46249</x:v>
      </x:c>
      <x:c r="B241" s="170" t="str">
        <x:v>Triceps</x:v>
      </x:c>
      <x:c r="C241" s="170" t="str">
        <x:v>Single-Arm Cable Pushdown</x:v>
      </x:c>
      <x:c r="D241" s="170" t="n">
        <x:v>2</x:v>
      </x:c>
      <x:c r="E241" s="170" t="n">
        <x:v>15</x:v>
      </x:c>
      <x:c r="F241" s="170" t="str">
        <x:v>kg stack; each arm</x:v>
      </x:c>
      <x:c r="G241" s="170" t="n">
        <x:v>10</x:v>
      </x:c>
      <x:c r="H241" s="170" t="str">
        <x:v>No forced repetitions</x:v>
      </x:c>
      <x:c r="I241" s="170" t="str">
        <x:v>No pain</x:v>
      </x:c>
      <x:c r="J241" s="170" t="str">
        <x:v>Medium final</x:v>
      </x:c>
      <x:c r="K241" s="170" t="str">
        <x:v>Very good</x:v>
      </x:c>
      <x:c r="L241" s="170" t="str">
        <x:v>20 direct sets exceeded planned 18-set cap</x:v>
      </x:c>
      <x:c r="M241" s="170" t="str">
        <x:v>Working</x:v>
      </x:c>
      <x:c r="N241" s="170" t="n">
        <x:v>1</x:v>
      </x:c>
    </x:row>
    <x:row r="242">
      <x:c r="A242" s="220" t="n">
        <x:v>46249</x:v>
      </x:c>
      <x:c r="B242" s="170" t="str">
        <x:v>Triceps</x:v>
      </x:c>
      <x:c r="C242" s="170" t="str">
        <x:v>Single-Arm Cable Pushdown</x:v>
      </x:c>
      <x:c r="D242" s="170" t="n">
        <x:v>3</x:v>
      </x:c>
      <x:c r="E242" s="170" t="n">
        <x:v>15</x:v>
      </x:c>
      <x:c r="F242" s="170" t="str">
        <x:v>kg stack; each arm</x:v>
      </x:c>
      <x:c r="G242" s="170" t="n">
        <x:v>10</x:v>
      </x:c>
      <x:c r="H242" s="170" t="str">
        <x:v>No forced repetitions</x:v>
      </x:c>
      <x:c r="I242" s="170" t="str">
        <x:v>No pain</x:v>
      </x:c>
      <x:c r="J242" s="170" t="str">
        <x:v>Medium final</x:v>
      </x:c>
      <x:c r="K242" s="170" t="str">
        <x:v>Very good</x:v>
      </x:c>
      <x:c r="L242" s="170" t="str">
        <x:v>20 direct sets exceeded planned 18-set cap</x:v>
      </x:c>
      <x:c r="M242" s="170" t="str">
        <x:v>Working</x:v>
      </x:c>
      <x:c r="N242" s="170" t="n">
        <x:v>1</x:v>
      </x:c>
    </x:row>
    <x:row r="243">
      <x:c r="A243" s="220" t="n">
        <x:v>46249</x:v>
      </x:c>
      <x:c r="B243" s="170" t="str">
        <x:v>Triceps</x:v>
      </x:c>
      <x:c r="C243" s="170" t="str">
        <x:v>Seated Two-Hand Overhead Dumbbell Extension</x:v>
      </x:c>
      <x:c r="D243" s="170" t="n">
        <x:v>1</x:v>
      </x:c>
      <x:c r="E243" s="170" t="n">
        <x:v>20</x:v>
      </x:c>
      <x:c r="F243" s="170" t="str">
        <x:v>kg total dumbbell</x:v>
      </x:c>
      <x:c r="G243" s="170" t="n">
        <x:v>15</x:v>
      </x:c>
      <x:c r="H243" s="170" t="str">
        <x:v>No forced repetitions</x:v>
      </x:c>
      <x:c r="I243" s="170" t="str">
        <x:v>No pain</x:v>
      </x:c>
      <x:c r="J243" s="170" t="str">
        <x:v>Medium final</x:v>
      </x:c>
      <x:c r="K243" s="170" t="str">
        <x:v>Very good</x:v>
      </x:c>
      <x:c r="L243" s="170" t="str">
        <x:v>20 direct sets exceeded planned 18-set cap</x:v>
      </x:c>
      <x:c r="M243" s="170" t="str">
        <x:v>Working</x:v>
      </x:c>
      <x:c r="N243" s="170" t="n">
        <x:v>2</x:v>
      </x:c>
    </x:row>
    <x:row r="244">
      <x:c r="A244" s="220" t="n">
        <x:v>46249</x:v>
      </x:c>
      <x:c r="B244" s="170" t="str">
        <x:v>Triceps</x:v>
      </x:c>
      <x:c r="C244" s="170" t="str">
        <x:v>Seated Two-Hand Overhead Dumbbell Extension</x:v>
      </x:c>
      <x:c r="D244" s="170" t="n">
        <x:v>2</x:v>
      </x:c>
      <x:c r="E244" s="170" t="n">
        <x:v>22.5</x:v>
      </x:c>
      <x:c r="F244" s="170" t="str">
        <x:v>kg total dumbbell</x:v>
      </x:c>
      <x:c r="G244" s="170" t="n">
        <x:v>12</x:v>
      </x:c>
      <x:c r="H244" s="170" t="str">
        <x:v>No forced repetitions</x:v>
      </x:c>
      <x:c r="I244" s="170" t="str">
        <x:v>No pain</x:v>
      </x:c>
      <x:c r="J244" s="170" t="str">
        <x:v>Medium final</x:v>
      </x:c>
      <x:c r="K244" s="170" t="str">
        <x:v>Very good</x:v>
      </x:c>
      <x:c r="L244" s="170" t="str">
        <x:v>20 direct sets exceeded planned 18-set cap</x:v>
      </x:c>
      <x:c r="M244" s="170" t="str">
        <x:v>Working</x:v>
      </x:c>
      <x:c r="N244" s="170" t="n">
        <x:v>2</x:v>
      </x:c>
    </x:row>
    <x:row r="245">
      <x:c r="A245" s="220" t="n">
        <x:v>46249</x:v>
      </x:c>
      <x:c r="B245" s="170" t="str">
        <x:v>Triceps</x:v>
      </x:c>
      <x:c r="C245" s="170" t="str">
        <x:v>Seated Two-Hand Overhead Dumbbell Extension</x:v>
      </x:c>
      <x:c r="D245" s="170" t="n">
        <x:v>3</x:v>
      </x:c>
      <x:c r="E245" s="170" t="n">
        <x:v>25</x:v>
      </x:c>
      <x:c r="F245" s="170" t="str">
        <x:v>kg total dumbbell</x:v>
      </x:c>
      <x:c r="G245" s="170" t="n">
        <x:v>10</x:v>
      </x:c>
      <x:c r="H245" s="170" t="str">
        <x:v>No forced repetitions</x:v>
      </x:c>
      <x:c r="I245" s="170" t="str">
        <x:v>No pain</x:v>
      </x:c>
      <x:c r="J245" s="170" t="str">
        <x:v>Medium final</x:v>
      </x:c>
      <x:c r="K245" s="170" t="str">
        <x:v>Very good</x:v>
      </x:c>
      <x:c r="L245" s="170" t="str">
        <x:v>20 direct sets exceeded planned 18-set cap</x:v>
      </x:c>
      <x:c r="M245" s="170" t="str">
        <x:v>Working</x:v>
      </x:c>
      <x:c r="N245" s="170" t="n">
        <x:v>2</x:v>
      </x:c>
    </x:row>
    <x:row r="246">
      <x:c r="A246" s="220" t="n">
        <x:v>46249</x:v>
      </x:c>
      <x:c r="B246" s="170" t="str">
        <x:v>Triceps</x:v>
      </x:c>
      <x:c r="C246" s="170" t="str">
        <x:v>Assisted Dip Machine</x:v>
      </x:c>
      <x:c r="D246" s="170" t="n">
        <x:v>1</x:v>
      </x:c>
      <x:c r="E246" s="170" t="n">
        <x:v>70</x:v>
      </x:c>
      <x:c r="F246" s="170" t="str">
        <x:v>kg machine assistance; higher = easier</x:v>
      </x:c>
      <x:c r="G246" s="170" t="n">
        <x:v>15</x:v>
      </x:c>
      <x:c r="H246" s="170" t="str">
        <x:v>Controlled depth confirmed</x:v>
      </x:c>
      <x:c r="I246" s="170" t="str">
        <x:v>No pain</x:v>
      </x:c>
      <x:c r="J246" s="170" t="str">
        <x:v>Medium final</x:v>
      </x:c>
      <x:c r="K246" s="170" t="str">
        <x:v>Very good</x:v>
      </x:c>
      <x:c r="L246" s="170" t="str">
        <x:v>20 direct sets exceeded planned 18-set cap</x:v>
      </x:c>
      <x:c r="M246" s="170" t="str">
        <x:v>Working</x:v>
      </x:c>
      <x:c r="N246" s="170" t="n">
        <x:v>3</x:v>
      </x:c>
    </x:row>
    <x:row r="247">
      <x:c r="A247" s="220" t="n">
        <x:v>46249</x:v>
      </x:c>
      <x:c r="B247" s="170" t="str">
        <x:v>Triceps</x:v>
      </x:c>
      <x:c r="C247" s="170" t="str">
        <x:v>Assisted Dip Machine</x:v>
      </x:c>
      <x:c r="D247" s="170" t="n">
        <x:v>2</x:v>
      </x:c>
      <x:c r="E247" s="170" t="n">
        <x:v>60</x:v>
      </x:c>
      <x:c r="F247" s="170" t="str">
        <x:v>kg machine assistance; higher = easier</x:v>
      </x:c>
      <x:c r="G247" s="170" t="n">
        <x:v>13</x:v>
      </x:c>
      <x:c r="H247" s="170" t="str">
        <x:v>Controlled depth confirmed</x:v>
      </x:c>
      <x:c r="I247" s="170" t="str">
        <x:v>No pain</x:v>
      </x:c>
      <x:c r="J247" s="170" t="str">
        <x:v>Medium final</x:v>
      </x:c>
      <x:c r="K247" s="170" t="str">
        <x:v>Very good</x:v>
      </x:c>
      <x:c r="L247" s="170" t="str">
        <x:v>20 direct sets exceeded planned 18-set cap</x:v>
      </x:c>
      <x:c r="M247" s="170" t="str">
        <x:v>Working</x:v>
      </x:c>
      <x:c r="N247" s="170" t="n">
        <x:v>2</x:v>
      </x:c>
    </x:row>
    <x:row r="248">
      <x:c r="A248" s="220" t="n">
        <x:v>46249</x:v>
      </x:c>
      <x:c r="B248" s="170" t="str">
        <x:v>Triceps</x:v>
      </x:c>
      <x:c r="C248" s="170" t="str">
        <x:v>Assisted Dip Machine</x:v>
      </x:c>
      <x:c r="D248" s="170" t="n">
        <x:v>3</x:v>
      </x:c>
      <x:c r="E248" s="170" t="n">
        <x:v>50</x:v>
      </x:c>
      <x:c r="F248" s="170" t="str">
        <x:v>kg machine assistance; higher = easier</x:v>
      </x:c>
      <x:c r="G248" s="170" t="n">
        <x:v>8</x:v>
      </x:c>
      <x:c r="H248" s="170" t="str">
        <x:v>Controlled depth confirmed</x:v>
      </x:c>
      <x:c r="I248" s="170" t="str">
        <x:v>No pain</x:v>
      </x:c>
      <x:c r="J248" s="170" t="str">
        <x:v>Medium final</x:v>
      </x:c>
      <x:c r="K248" s="170" t="str">
        <x:v>Very good</x:v>
      </x:c>
      <x:c r="L248" s="170" t="str">
        <x:v>20 direct sets exceeded planned 18-set cap</x:v>
      </x:c>
      <x:c r="M248" s="170" t="str">
        <x:v>Working</x:v>
      </x:c>
      <x:c r="N248" s="170" t="n">
        <x:v>1</x:v>
      </x:c>
    </x:row>
    <x:row r="249">
      <x:c r="A249" s="220" t="n">
        <x:v>46249</x:v>
      </x:c>
      <x:c r="B249" s="170" t="str">
        <x:v>Triceps</x:v>
      </x:c>
      <x:c r="C249" s="170" t="str">
        <x:v>Treadmill Incline Walk</x:v>
      </x:c>
      <x:c r="D249" s="170" t="n">
        <x:v>1</x:v>
      </x:c>
      <x:c r="E249" s="170" t="str">
        <x:v>10 minutes</x:v>
      </x:c>
      <x:c r="F249" s="170" t="str">
        <x:v>6% incline; speed display 4 (unit To verify)</x:v>
      </x:c>
      <x:c r="G249" s="170" t="str">
        <x:v>Completed</x:v>
      </x:c>
      <x:c r="H249" s="170" t="str">
        <x:v>Post-lifting finisher</x:v>
      </x:c>
      <x:c r="I249" s="170" t="str">
        <x:v>No pain</x:v>
      </x:c>
      <x:c r="J249" s="170" t="str">
        <x:v>Energetic enough for finisher</x:v>
      </x:c>
      <x:c r="K249" s="170" t="str">
        <x:v>Very good</x:v>
      </x:c>
      <x:c r="L249" s="170" t="str">
        <x:v>Speed unit remains To verify</x:v>
      </x:c>
      <x:c r="M249" s="170" t="str">
        <x:v>Finisher</x:v>
      </x:c>
      <x:c r="N249" s="170" t="str">
        <x:v>Not applicable</x:v>
      </x:c>
    </x:row>
    <x:row r="250">
      <x:c r="A250" s="220" t="n">
        <x:v>46249</x:v>
      </x:c>
      <x:c r="B250" s="170" t="str">
        <x:v>Triceps</x:v>
      </x:c>
      <x:c r="C250" s="170" t="str">
        <x:v>Front Plank</x:v>
      </x:c>
      <x:c r="D250" s="170" t="n">
        <x:v>1</x:v>
      </x:c>
      <x:c r="E250" s="170" t="str">
        <x:v>Body weight</x:v>
      </x:c>
      <x:c r="F250" s="170" t="str">
        <x:v>seconds</x:v>
      </x:c>
      <x:c r="G250" s="170" t="n">
        <x:v>60</x:v>
      </x:c>
      <x:c r="H250" s="170" t="str">
        <x:v>Form and reserve To verify</x:v>
      </x:c>
      <x:c r="I250" s="170" t="str">
        <x:v>No pain</x:v>
      </x:c>
      <x:c r="J250" s="170" t="str">
        <x:v>Energetic enough for finisher</x:v>
      </x:c>
      <x:c r="K250" s="170" t="str">
        <x:v>Very good</x:v>
      </x:c>
      <x:c r="L250" s="170"/>
      <x:c r="M250" s="170" t="str">
        <x:v>Finisher</x:v>
      </x:c>
      <x:c r="N250" s="170" t="str">
        <x:v>To verify</x:v>
      </x:c>
    </x:row>
    <x:row r="251">
      <x:c r="A251" s="220" t="n">
        <x:v>46249</x:v>
      </x:c>
      <x:c r="B251" s="170" t="str">
        <x:v>Triceps</x:v>
      </x:c>
      <x:c r="C251" s="170" t="str">
        <x:v>Front Plank</x:v>
      </x:c>
      <x:c r="D251" s="170" t="n">
        <x:v>2</x:v>
      </x:c>
      <x:c r="E251" s="170" t="str">
        <x:v>Body weight</x:v>
      </x:c>
      <x:c r="F251" s="170" t="str">
        <x:v>seconds</x:v>
      </x:c>
      <x:c r="G251" s="170" t="n">
        <x:v>60</x:v>
      </x:c>
      <x:c r="H251" s="170" t="str">
        <x:v>Form and reserve To verify</x:v>
      </x:c>
      <x:c r="I251" s="170" t="str">
        <x:v>No pain</x:v>
      </x:c>
      <x:c r="J251" s="170" t="str">
        <x:v>Energetic enough for finisher</x:v>
      </x:c>
      <x:c r="K251" s="170" t="str">
        <x:v>Very good</x:v>
      </x:c>
      <x:c r="L251" s="170"/>
      <x:c r="M251" s="170" t="str">
        <x:v>Finisher</x:v>
      </x:c>
      <x:c r="N251" s="170" t="str">
        <x:v>To verify</x:v>
      </x:c>
    </x:row>
    <x:row r="252">
      <x:c r="A252" s="220" t="n">
        <x:v>46251</x:v>
      </x:c>
      <x:c r="B252" s="170" t="str">
        <x:v>Back</x:v>
      </x:c>
      <x:c r="C252" s="170" t="str">
        <x:v>Lat Pulldown</x:v>
      </x:c>
      <x:c r="D252" s="170" t="n">
        <x:v>1</x:v>
      </x:c>
      <x:c r="E252" s="170" t="n">
        <x:v>45</x:v>
      </x:c>
      <x:c r="F252" s="170" t="str">
        <x:v>kg total cable stack</x:v>
      </x:c>
      <x:c r="G252" s="170" t="n">
        <x:v>15</x:v>
      </x:c>
      <x:c r="H252" s="170" t="str">
        <x:v>Controlled-form detail To verify</x:v>
      </x:c>
      <x:c r="I252" s="170" t="str">
        <x:v>Lower-back muscular pump after session; no pain; no shoulder/elbow pain</x:v>
      </x:c>
      <x:c r="J252" s="170" t="str">
        <x:v>Low final</x:v>
      </x:c>
      <x:c r="K252" s="170" t="str">
        <x:v>Good</x:v>
      </x:c>
      <x:c r="L252" s="170"/>
      <x:c r="M252" s="170" t="str">
        <x:v>Working</x:v>
      </x:c>
      <x:c r="N252" s="170" t="n">
        <x:v>2</x:v>
      </x:c>
    </x:row>
    <x:row r="253">
      <x:c r="A253" s="220" t="n">
        <x:v>46251</x:v>
      </x:c>
      <x:c r="B253" s="170" t="str">
        <x:v>Back</x:v>
      </x:c>
      <x:c r="C253" s="170" t="str">
        <x:v>Lat Pulldown</x:v>
      </x:c>
      <x:c r="D253" s="170" t="n">
        <x:v>2</x:v>
      </x:c>
      <x:c r="E253" s="170" t="n">
        <x:v>50</x:v>
      </x:c>
      <x:c r="F253" s="170" t="str">
        <x:v>kg total cable stack</x:v>
      </x:c>
      <x:c r="G253" s="170" t="n">
        <x:v>12</x:v>
      </x:c>
      <x:c r="H253" s="170" t="str">
        <x:v>Controlled-form detail To verify</x:v>
      </x:c>
      <x:c r="I253" s="170" t="str">
        <x:v>Lower-back muscular pump after session; no pain; no shoulder/elbow pain</x:v>
      </x:c>
      <x:c r="J253" s="170" t="str">
        <x:v>Low final</x:v>
      </x:c>
      <x:c r="K253" s="170" t="str">
        <x:v>Good</x:v>
      </x:c>
      <x:c r="L253" s="170"/>
      <x:c r="M253" s="170" t="str">
        <x:v>Working</x:v>
      </x:c>
      <x:c r="N253" s="170" t="n">
        <x:v>2</x:v>
      </x:c>
    </x:row>
    <x:row r="254">
      <x:c r="A254" s="220" t="n">
        <x:v>46251</x:v>
      </x:c>
      <x:c r="B254" s="170" t="str">
        <x:v>Back</x:v>
      </x:c>
      <x:c r="C254" s="170" t="str">
        <x:v>Lat Pulldown</x:v>
      </x:c>
      <x:c r="D254" s="170" t="n">
        <x:v>3</x:v>
      </x:c>
      <x:c r="E254" s="170" t="n">
        <x:v>55</x:v>
      </x:c>
      <x:c r="F254" s="170" t="str">
        <x:v>kg total cable stack</x:v>
      </x:c>
      <x:c r="G254" s="170" t="n">
        <x:v>10</x:v>
      </x:c>
      <x:c r="H254" s="170" t="str">
        <x:v>Controlled-form detail To verify</x:v>
      </x:c>
      <x:c r="I254" s="170" t="str">
        <x:v>Lower-back muscular pump after session; no pain; no shoulder/elbow pain</x:v>
      </x:c>
      <x:c r="J254" s="170" t="str">
        <x:v>Low final</x:v>
      </x:c>
      <x:c r="K254" s="170" t="str">
        <x:v>Good</x:v>
      </x:c>
      <x:c r="L254" s="170"/>
      <x:c r="M254" s="170" t="str">
        <x:v>Working</x:v>
      </x:c>
      <x:c r="N254" s="170" t="n">
        <x:v>2</x:v>
      </x:c>
    </x:row>
    <x:row r="255">
      <x:c r="A255" s="220" t="n">
        <x:v>46251</x:v>
      </x:c>
      <x:c r="B255" s="170" t="str">
        <x:v>Back</x:v>
      </x:c>
      <x:c r="C255" s="170" t="str">
        <x:v>Lat Pulldown</x:v>
      </x:c>
      <x:c r="D255" s="170" t="n">
        <x:v>4</x:v>
      </x:c>
      <x:c r="E255" s="170" t="n">
        <x:v>60</x:v>
      </x:c>
      <x:c r="F255" s="170" t="str">
        <x:v>kg total cable stack</x:v>
      </x:c>
      <x:c r="G255" s="170" t="n">
        <x:v>8</x:v>
      </x:c>
      <x:c r="H255" s="170" t="str">
        <x:v>Controlled-form detail To verify</x:v>
      </x:c>
      <x:c r="I255" s="170" t="str">
        <x:v>Lower-back muscular pump after session; no pain; no shoulder/elbow pain</x:v>
      </x:c>
      <x:c r="J255" s="170" t="str">
        <x:v>Low final</x:v>
      </x:c>
      <x:c r="K255" s="170" t="str">
        <x:v>Good</x:v>
      </x:c>
      <x:c r="L255" s="170"/>
      <x:c r="M255" s="170" t="str">
        <x:v>Working</x:v>
      </x:c>
      <x:c r="N255" s="170" t="n">
        <x:v>1</x:v>
      </x:c>
    </x:row>
    <x:row r="256">
      <x:c r="A256" s="220" t="n">
        <x:v>46251</x:v>
      </x:c>
      <x:c r="B256" s="170" t="str">
        <x:v>Back</x:v>
      </x:c>
      <x:c r="C256" s="170" t="str">
        <x:v>Seated Cable Row</x:v>
      </x:c>
      <x:c r="D256" s="170" t="n">
        <x:v>1</x:v>
      </x:c>
      <x:c r="E256" s="170" t="n">
        <x:v>45</x:v>
      </x:c>
      <x:c r="F256" s="170" t="str">
        <x:v>kg total cable stack</x:v>
      </x:c>
      <x:c r="G256" s="170" t="n">
        <x:v>15</x:v>
      </x:c>
      <x:c r="H256" s="170" t="str">
        <x:v>Controlled-form detail To verify</x:v>
      </x:c>
      <x:c r="I256" s="170" t="str">
        <x:v>Lower-back muscular pump after session; no pain; no shoulder/elbow pain</x:v>
      </x:c>
      <x:c r="J256" s="170" t="str">
        <x:v>Low final</x:v>
      </x:c>
      <x:c r="K256" s="170" t="str">
        <x:v>Good</x:v>
      </x:c>
      <x:c r="L256" s="170"/>
      <x:c r="M256" s="170" t="str">
        <x:v>Working</x:v>
      </x:c>
      <x:c r="N256" s="170" t="n">
        <x:v>2</x:v>
      </x:c>
    </x:row>
    <x:row r="257">
      <x:c r="A257" s="220" t="n">
        <x:v>46251</x:v>
      </x:c>
      <x:c r="B257" s="170" t="str">
        <x:v>Back</x:v>
      </x:c>
      <x:c r="C257" s="170" t="str">
        <x:v>Seated Cable Row</x:v>
      </x:c>
      <x:c r="D257" s="170" t="n">
        <x:v>2</x:v>
      </x:c>
      <x:c r="E257" s="170" t="n">
        <x:v>50</x:v>
      </x:c>
      <x:c r="F257" s="170" t="str">
        <x:v>kg total cable stack</x:v>
      </x:c>
      <x:c r="G257" s="170" t="n">
        <x:v>12</x:v>
      </x:c>
      <x:c r="H257" s="170" t="str">
        <x:v>Controlled-form detail To verify</x:v>
      </x:c>
      <x:c r="I257" s="170" t="str">
        <x:v>Lower-back muscular pump after session; no pain; no shoulder/elbow pain</x:v>
      </x:c>
      <x:c r="J257" s="170" t="str">
        <x:v>Low final</x:v>
      </x:c>
      <x:c r="K257" s="170" t="str">
        <x:v>Good</x:v>
      </x:c>
      <x:c r="L257" s="170"/>
      <x:c r="M257" s="170" t="str">
        <x:v>Working</x:v>
      </x:c>
      <x:c r="N257" s="170" t="n">
        <x:v>2</x:v>
      </x:c>
    </x:row>
    <x:row r="258">
      <x:c r="A258" s="220" t="n">
        <x:v>46251</x:v>
      </x:c>
      <x:c r="B258" s="170" t="str">
        <x:v>Back</x:v>
      </x:c>
      <x:c r="C258" s="170" t="str">
        <x:v>Seated Cable Row</x:v>
      </x:c>
      <x:c r="D258" s="170" t="n">
        <x:v>3</x:v>
      </x:c>
      <x:c r="E258" s="170" t="n">
        <x:v>55</x:v>
      </x:c>
      <x:c r="F258" s="170" t="str">
        <x:v>kg total cable stack</x:v>
      </x:c>
      <x:c r="G258" s="170" t="n">
        <x:v>10</x:v>
      </x:c>
      <x:c r="H258" s="170" t="str">
        <x:v>Controlled-form detail To verify</x:v>
      </x:c>
      <x:c r="I258" s="170" t="str">
        <x:v>Lower-back muscular pump after session; no pain; no shoulder/elbow pain</x:v>
      </x:c>
      <x:c r="J258" s="170" t="str">
        <x:v>Low final</x:v>
      </x:c>
      <x:c r="K258" s="170" t="str">
        <x:v>Good</x:v>
      </x:c>
      <x:c r="L258" s="170"/>
      <x:c r="M258" s="170" t="str">
        <x:v>Working</x:v>
      </x:c>
      <x:c r="N258" s="170" t="n">
        <x:v>2</x:v>
      </x:c>
    </x:row>
    <x:row r="259">
      <x:c r="A259" s="220" t="n">
        <x:v>46251</x:v>
      </x:c>
      <x:c r="B259" s="170" t="str">
        <x:v>Back</x:v>
      </x:c>
      <x:c r="C259" s="170" t="str">
        <x:v>Seated Cable Row</x:v>
      </x:c>
      <x:c r="D259" s="170" t="n">
        <x:v>4</x:v>
      </x:c>
      <x:c r="E259" s="170" t="n">
        <x:v>60</x:v>
      </x:c>
      <x:c r="F259" s="170" t="str">
        <x:v>kg total cable stack</x:v>
      </x:c>
      <x:c r="G259" s="170" t="n">
        <x:v>8</x:v>
      </x:c>
      <x:c r="H259" s="170" t="str">
        <x:v>Controlled-form detail To verify</x:v>
      </x:c>
      <x:c r="I259" s="170" t="str">
        <x:v>Lower-back muscular pump after session; no pain; no shoulder/elbow pain</x:v>
      </x:c>
      <x:c r="J259" s="170" t="str">
        <x:v>Low final</x:v>
      </x:c>
      <x:c r="K259" s="170" t="str">
        <x:v>Good</x:v>
      </x:c>
      <x:c r="L259" s="170"/>
      <x:c r="M259" s="170" t="str">
        <x:v>Working</x:v>
      </x:c>
      <x:c r="N259" s="170" t="n">
        <x:v>1</x:v>
      </x:c>
    </x:row>
    <x:row r="260">
      <x:c r="A260" s="220" t="n">
        <x:v>46251</x:v>
      </x:c>
      <x:c r="B260" s="170" t="str">
        <x:v>Back</x:v>
      </x:c>
      <x:c r="C260" s="170" t="str">
        <x:v>Chest-Supported Row</x:v>
      </x:c>
      <x:c r="D260" s="170" t="n">
        <x:v>1</x:v>
      </x:c>
      <x:c r="E260" s="170" t="n">
        <x:v>40</x:v>
      </x:c>
      <x:c r="F260" s="170" t="str">
        <x:v>kg plates each side</x:v>
      </x:c>
      <x:c r="G260" s="170" t="n">
        <x:v>15</x:v>
      </x:c>
      <x:c r="H260" s="170" t="str">
        <x:v>Controlled-form detail To verify</x:v>
      </x:c>
      <x:c r="I260" s="170" t="str">
        <x:v>Lower-back muscular pump after session; no pain; no shoulder/elbow pain</x:v>
      </x:c>
      <x:c r="J260" s="170" t="str">
        <x:v>Low final</x:v>
      </x:c>
      <x:c r="K260" s="170" t="str">
        <x:v>Good</x:v>
      </x:c>
      <x:c r="L260" s="170"/>
      <x:c r="M260" s="170" t="str">
        <x:v>Working</x:v>
      </x:c>
      <x:c r="N260" s="170" t="n">
        <x:v>3</x:v>
      </x:c>
    </x:row>
    <x:row r="261">
      <x:c r="A261" s="220" t="n">
        <x:v>46251</x:v>
      </x:c>
      <x:c r="B261" s="170" t="str">
        <x:v>Back</x:v>
      </x:c>
      <x:c r="C261" s="170" t="str">
        <x:v>Chest-Supported Row</x:v>
      </x:c>
      <x:c r="D261" s="170" t="n">
        <x:v>2</x:v>
      </x:c>
      <x:c r="E261" s="170" t="n">
        <x:v>50</x:v>
      </x:c>
      <x:c r="F261" s="170" t="str">
        <x:v>kg plates each side</x:v>
      </x:c>
      <x:c r="G261" s="170" t="n">
        <x:v>13</x:v>
      </x:c>
      <x:c r="H261" s="170" t="str">
        <x:v>Controlled-form detail To verify</x:v>
      </x:c>
      <x:c r="I261" s="170" t="str">
        <x:v>Lower-back muscular pump after session; no pain; no shoulder/elbow pain</x:v>
      </x:c>
      <x:c r="J261" s="170" t="str">
        <x:v>Low final</x:v>
      </x:c>
      <x:c r="K261" s="170" t="str">
        <x:v>Good</x:v>
      </x:c>
      <x:c r="L261" s="170"/>
      <x:c r="M261" s="170" t="str">
        <x:v>Working</x:v>
      </x:c>
      <x:c r="N261" s="170" t="n">
        <x:v>2</x:v>
      </x:c>
    </x:row>
    <x:row r="262">
      <x:c r="A262" s="220" t="n">
        <x:v>46251</x:v>
      </x:c>
      <x:c r="B262" s="170" t="str">
        <x:v>Back</x:v>
      </x:c>
      <x:c r="C262" s="170" t="str">
        <x:v>Chest-Supported Row</x:v>
      </x:c>
      <x:c r="D262" s="170" t="n">
        <x:v>3</x:v>
      </x:c>
      <x:c r="E262" s="170" t="n">
        <x:v>60</x:v>
      </x:c>
      <x:c r="F262" s="170" t="str">
        <x:v>kg plates each side</x:v>
      </x:c>
      <x:c r="G262" s="170" t="n">
        <x:v>11</x:v>
      </x:c>
      <x:c r="H262" s="170" t="str">
        <x:v>Controlled-form detail To verify</x:v>
      </x:c>
      <x:c r="I262" s="170" t="str">
        <x:v>Lower-back muscular pump after session; no pain; no shoulder/elbow pain</x:v>
      </x:c>
      <x:c r="J262" s="170" t="str">
        <x:v>Low final</x:v>
      </x:c>
      <x:c r="K262" s="170" t="str">
        <x:v>Good</x:v>
      </x:c>
      <x:c r="L262" s="170"/>
      <x:c r="M262" s="170" t="str">
        <x:v>Working</x:v>
      </x:c>
      <x:c r="N262" s="170" t="n">
        <x:v>2</x:v>
      </x:c>
    </x:row>
    <x:row r="263">
      <x:c r="A263" s="220" t="n">
        <x:v>46251</x:v>
      </x:c>
      <x:c r="B263" s="170" t="str">
        <x:v>Back</x:v>
      </x:c>
      <x:c r="C263" s="170" t="str">
        <x:v>Iso-Lateral High Row</x:v>
      </x:c>
      <x:c r="D263" s="170" t="n">
        <x:v>1</x:v>
      </x:c>
      <x:c r="E263" s="170" t="n">
        <x:v>15</x:v>
      </x:c>
      <x:c r="F263" s="170" t="str">
        <x:v>kg plates each side</x:v>
      </x:c>
      <x:c r="G263" s="170" t="n">
        <x:v>14</x:v>
      </x:c>
      <x:c r="H263" s="170" t="str">
        <x:v>Controlled-form detail To verify</x:v>
      </x:c>
      <x:c r="I263" s="170" t="str">
        <x:v>Lower-back muscular pump after session; no pain; no shoulder/elbow pain</x:v>
      </x:c>
      <x:c r="J263" s="170" t="str">
        <x:v>Low final</x:v>
      </x:c>
      <x:c r="K263" s="170" t="str">
        <x:v>Good</x:v>
      </x:c>
      <x:c r="L263" s="170"/>
      <x:c r="M263" s="170" t="str">
        <x:v>Working</x:v>
      </x:c>
      <x:c r="N263" s="170" t="n">
        <x:v>2</x:v>
      </x:c>
    </x:row>
    <x:row r="264">
      <x:c r="A264" s="220" t="n">
        <x:v>46251</x:v>
      </x:c>
      <x:c r="B264" s="170" t="str">
        <x:v>Back</x:v>
      </x:c>
      <x:c r="C264" s="170" t="str">
        <x:v>Iso-Lateral High Row</x:v>
      </x:c>
      <x:c r="D264" s="170" t="n">
        <x:v>2</x:v>
      </x:c>
      <x:c r="E264" s="170" t="n">
        <x:v>17.5</x:v>
      </x:c>
      <x:c r="F264" s="170" t="str">
        <x:v>kg plates each side</x:v>
      </x:c>
      <x:c r="G264" s="170" t="n">
        <x:v>12</x:v>
      </x:c>
      <x:c r="H264" s="170" t="str">
        <x:v>Controlled-form detail To verify</x:v>
      </x:c>
      <x:c r="I264" s="170" t="str">
        <x:v>Lower-back muscular pump after session; no pain; no shoulder/elbow pain</x:v>
      </x:c>
      <x:c r="J264" s="170" t="str">
        <x:v>Low final</x:v>
      </x:c>
      <x:c r="K264" s="170" t="str">
        <x:v>Good</x:v>
      </x:c>
      <x:c r="L264" s="170"/>
      <x:c r="M264" s="170" t="str">
        <x:v>Working</x:v>
      </x:c>
      <x:c r="N264" s="170" t="n">
        <x:v>2</x:v>
      </x:c>
    </x:row>
    <x:row r="265">
      <x:c r="A265" s="220" t="n">
        <x:v>46251</x:v>
      </x:c>
      <x:c r="B265" s="170" t="str">
        <x:v>Back</x:v>
      </x:c>
      <x:c r="C265" s="170" t="str">
        <x:v>Iso-Lateral High Row</x:v>
      </x:c>
      <x:c r="D265" s="170" t="n">
        <x:v>3</x:v>
      </x:c>
      <x:c r="E265" s="170" t="n">
        <x:v>20</x:v>
      </x:c>
      <x:c r="F265" s="170" t="str">
        <x:v>kg plates each side</x:v>
      </x:c>
      <x:c r="G265" s="170" t="n">
        <x:v>10</x:v>
      </x:c>
      <x:c r="H265" s="170" t="str">
        <x:v>Controlled-form detail To verify</x:v>
      </x:c>
      <x:c r="I265" s="170" t="str">
        <x:v>Lower-back muscular pump after session; no pain; no shoulder/elbow pain</x:v>
      </x:c>
      <x:c r="J265" s="170" t="str">
        <x:v>Low final</x:v>
      </x:c>
      <x:c r="K265" s="170" t="str">
        <x:v>Good</x:v>
      </x:c>
      <x:c r="L265" s="170"/>
      <x:c r="M265" s="170" t="str">
        <x:v>Working</x:v>
      </x:c>
      <x:c r="N265" s="170" t="n">
        <x:v>2</x:v>
      </x:c>
    </x:row>
    <x:row r="266">
      <x:c r="A266" s="220" t="n">
        <x:v>46251</x:v>
      </x:c>
      <x:c r="B266" s="170" t="str">
        <x:v>Back</x:v>
      </x:c>
      <x:c r="C266" s="170" t="str">
        <x:v>Straight-Arm Pulldown</x:v>
      </x:c>
      <x:c r="D266" s="170" t="n">
        <x:v>1</x:v>
      </x:c>
      <x:c r="E266" s="170" t="n">
        <x:v>40</x:v>
      </x:c>
      <x:c r="F266" s="170" t="str">
        <x:v>kg total cable stack</x:v>
      </x:c>
      <x:c r="G266" s="170" t="n">
        <x:v>15</x:v>
      </x:c>
      <x:c r="H266" s="170" t="str">
        <x:v>Controlled-form detail To verify</x:v>
      </x:c>
      <x:c r="I266" s="170" t="str">
        <x:v>Lower-back muscular pump after session; no pain; no shoulder/elbow pain</x:v>
      </x:c>
      <x:c r="J266" s="170" t="str">
        <x:v>Low final</x:v>
      </x:c>
      <x:c r="K266" s="170" t="str">
        <x:v>Good</x:v>
      </x:c>
      <x:c r="L266" s="170"/>
      <x:c r="M266" s="170" t="str">
        <x:v>Working</x:v>
      </x:c>
      <x:c r="N266" s="170" t="n">
        <x:v>2</x:v>
      </x:c>
    </x:row>
    <x:row r="267">
      <x:c r="A267" s="220" t="n">
        <x:v>46251</x:v>
      </x:c>
      <x:c r="B267" s="170" t="str">
        <x:v>Back</x:v>
      </x:c>
      <x:c r="C267" s="170" t="str">
        <x:v>Straight-Arm Pulldown</x:v>
      </x:c>
      <x:c r="D267" s="170" t="n">
        <x:v>2</x:v>
      </x:c>
      <x:c r="E267" s="170" t="n">
        <x:v>45</x:v>
      </x:c>
      <x:c r="F267" s="170" t="str">
        <x:v>kg total cable stack</x:v>
      </x:c>
      <x:c r="G267" s="170" t="n">
        <x:v>12</x:v>
      </x:c>
      <x:c r="H267" s="170" t="str">
        <x:v>Controlled-form detail To verify</x:v>
      </x:c>
      <x:c r="I267" s="170" t="str">
        <x:v>Lower-back muscular pump after session; no pain; no shoulder/elbow pain</x:v>
      </x:c>
      <x:c r="J267" s="170" t="str">
        <x:v>Low final</x:v>
      </x:c>
      <x:c r="K267" s="170" t="str">
        <x:v>Good</x:v>
      </x:c>
      <x:c r="L267" s="170"/>
      <x:c r="M267" s="170" t="str">
        <x:v>Working</x:v>
      </x:c>
      <x:c r="N267" s="170" t="n">
        <x:v>2</x:v>
      </x:c>
    </x:row>
    <x:row r="268">
      <x:c r="A268" s="220" t="n">
        <x:v>46251</x:v>
      </x:c>
      <x:c r="B268" s="170" t="str">
        <x:v>Back</x:v>
      </x:c>
      <x:c r="C268" s="170" t="str">
        <x:v>Straight-Arm Pulldown</x:v>
      </x:c>
      <x:c r="D268" s="170" t="n">
        <x:v>3</x:v>
      </x:c>
      <x:c r="E268" s="170" t="n">
        <x:v>50</x:v>
      </x:c>
      <x:c r="F268" s="170" t="str">
        <x:v>kg total cable stack</x:v>
      </x:c>
      <x:c r="G268" s="170" t="n">
        <x:v>10</x:v>
      </x:c>
      <x:c r="H268" s="170" t="str">
        <x:v>Controlled-form detail To verify</x:v>
      </x:c>
      <x:c r="I268" s="170" t="str">
        <x:v>Lower-back muscular pump after session; no pain; no shoulder/elbow pain</x:v>
      </x:c>
      <x:c r="J268" s="170" t="str">
        <x:v>Low final</x:v>
      </x:c>
      <x:c r="K268" s="170" t="str">
        <x:v>Good</x:v>
      </x:c>
      <x:c r="L268" s="170"/>
      <x:c r="M268" s="170" t="str">
        <x:v>Working</x:v>
      </x:c>
      <x:c r="N268" s="170" t="n">
        <x:v>2</x:v>
      </x:c>
    </x:row>
    <x:row r="269">
      <x:c r="A269" s="220" t="n">
        <x:v>46251</x:v>
      </x:c>
      <x:c r="B269" s="170" t="str">
        <x:v>Back</x:v>
      </x:c>
      <x:c r="C269" s="170" t="str">
        <x:v>Hyperextension</x:v>
      </x:c>
      <x:c r="D269" s="170" t="n">
        <x:v>1</x:v>
      </x:c>
      <x:c r="E269" s="170" t="str">
        <x:v>Body weight</x:v>
      </x:c>
      <x:c r="F269" s="170" t="str">
        <x:v>body weight</x:v>
      </x:c>
      <x:c r="G269" s="170" t="n">
        <x:v>15</x:v>
      </x:c>
      <x:c r="H269" s="170" t="str">
        <x:v>Controlled-form detail To verify</x:v>
      </x:c>
      <x:c r="I269" s="170" t="str">
        <x:v>Lower-back muscular pump after session; no pain; no shoulder/elbow pain</x:v>
      </x:c>
      <x:c r="J269" s="170" t="str">
        <x:v>Low final</x:v>
      </x:c>
      <x:c r="K269" s="170" t="str">
        <x:v>Good</x:v>
      </x:c>
      <x:c r="L269" s="170"/>
      <x:c r="M269" s="170" t="str">
        <x:v>Working</x:v>
      </x:c>
      <x:c r="N269" s="170" t="n">
        <x:v>2</x:v>
      </x:c>
    </x:row>
    <x:row r="270">
      <x:c r="A270" s="220" t="n">
        <x:v>46251</x:v>
      </x:c>
      <x:c r="B270" s="170" t="str">
        <x:v>Back</x:v>
      </x:c>
      <x:c r="C270" s="170" t="str">
        <x:v>Hyperextension</x:v>
      </x:c>
      <x:c r="D270" s="170" t="n">
        <x:v>2</x:v>
      </x:c>
      <x:c r="E270" s="170" t="str">
        <x:v>Body weight + 10</x:v>
      </x:c>
      <x:c r="F270" s="170" t="str">
        <x:v>kg plate held</x:v>
      </x:c>
      <x:c r="G270" s="170" t="n">
        <x:v>13</x:v>
      </x:c>
      <x:c r="H270" s="170" t="str">
        <x:v>Controlled-form detail To verify</x:v>
      </x:c>
      <x:c r="I270" s="170" t="str">
        <x:v>Lower-back muscular pump after session; no pain; no shoulder/elbow pain</x:v>
      </x:c>
      <x:c r="J270" s="170" t="str">
        <x:v>Low final</x:v>
      </x:c>
      <x:c r="K270" s="170" t="str">
        <x:v>Good</x:v>
      </x:c>
      <x:c r="L270" s="170"/>
      <x:c r="M270" s="170" t="str">
        <x:v>Working</x:v>
      </x:c>
      <x:c r="N270" s="170" t="n">
        <x:v>1</x:v>
      </x:c>
    </x:row>
    <x:row r="271">
      <x:c r="A271" s="220" t="n">
        <x:v>46251</x:v>
      </x:c>
      <x:c r="B271" s="170" t="str">
        <x:v>Back</x:v>
      </x:c>
      <x:c r="C271" s="170" t="str">
        <x:v>Hyperextension</x:v>
      </x:c>
      <x:c r="D271" s="170" t="n">
        <x:v>3</x:v>
      </x:c>
      <x:c r="E271" s="170" t="str">
        <x:v>Body weight + 20</x:v>
      </x:c>
      <x:c r="F271" s="170" t="str">
        <x:v>kg plate held</x:v>
      </x:c>
      <x:c r="G271" s="170" t="n">
        <x:v>10</x:v>
      </x:c>
      <x:c r="H271" s="170" t="str">
        <x:v>Controlled but required an intra-set pause and consumed substantial strength</x:v>
      </x:c>
      <x:c r="I271" s="170" t="str">
        <x:v>Lower-back muscular pump after session; no pain; no shoulder/elbow pain</x:v>
      </x:c>
      <x:c r="J271" s="170" t="str">
        <x:v>Low final</x:v>
      </x:c>
      <x:c r="K271" s="170" t="str">
        <x:v>Good</x:v>
      </x:c>
      <x:c r="L271" s="170" t="str">
        <x:v>Unprescribed RIR 0 set; preserved as history, not progression target</x:v>
      </x:c>
      <x:c r="M271" s="170" t="str">
        <x:v>Working</x:v>
      </x:c>
      <x:c r="N271" s="170" t="n">
        <x:v>0</x:v>
      </x:c>
    </x:row>
    <x:row r="272">
      <x:c r="A272" s="220" t="n">
        <x:v>46252</x:v>
      </x:c>
      <x:c r="B272" s="170" t="str">
        <x:v>Chest</x:v>
      </x:c>
      <x:c r="C272" s="170" t="str">
        <x:v>Flat Bench Press</x:v>
      </x:c>
      <x:c r="D272" s="170" t="n">
        <x:v>1</x:v>
      </x:c>
      <x:c r="E272" s="170" t="n">
        <x:v>17.5</x:v>
      </x:c>
      <x:c r="F272" s="170" t="str">
        <x:v>kg plates each side; bar excluded</x:v>
      </x:c>
      <x:c r="G272" s="170" t="n">
        <x:v>12</x:v>
      </x:c>
      <x:c r="H272" s="170" t="str">
        <x:v>No assistance; prescribed preparation-set completion To verify</x:v>
      </x:c>
      <x:c r="I272" s="170" t="str">
        <x:v>No pain; little lower-biceps pump after final cable-fly set; exact side and resolution To verify</x:v>
      </x:c>
      <x:c r="J272" s="170" t="str">
        <x:v>Medium to low final</x:v>
      </x:c>
      <x:c r="K272" s="170" t="str">
        <x:v>Good</x:v>
      </x:c>
      <x:c r="L272" s="170"/>
      <x:c r="M272" s="170" t="str">
        <x:v>Working</x:v>
      </x:c>
      <x:c r="N272" s="170" t="n">
        <x:v>2</x:v>
      </x:c>
    </x:row>
    <x:row r="273">
      <x:c r="A273" s="220" t="n">
        <x:v>46252</x:v>
      </x:c>
      <x:c r="B273" s="170" t="str">
        <x:v>Chest</x:v>
      </x:c>
      <x:c r="C273" s="170" t="str">
        <x:v>Flat Bench Press</x:v>
      </x:c>
      <x:c r="D273" s="170" t="n">
        <x:v>2</x:v>
      </x:c>
      <x:c r="E273" s="170" t="n">
        <x:v>20</x:v>
      </x:c>
      <x:c r="F273" s="170" t="str">
        <x:v>kg plates each side; bar excluded</x:v>
      </x:c>
      <x:c r="G273" s="170" t="n">
        <x:v>10</x:v>
      </x:c>
      <x:c r="H273" s="170" t="str">
        <x:v>No assistance; rep target met but harder than planned</x:v>
      </x:c>
      <x:c r="I273" s="170" t="str">
        <x:v>No pain; little lower-biceps pump after final cable-fly set; exact side and resolution To verify</x:v>
      </x:c>
      <x:c r="J273" s="170" t="str">
        <x:v>Medium to low final</x:v>
      </x:c>
      <x:c r="K273" s="170" t="str">
        <x:v>Good</x:v>
      </x:c>
      <x:c r="L273" s="170"/>
      <x:c r="M273" s="170" t="str">
        <x:v>Working</x:v>
      </x:c>
      <x:c r="N273" s="170" t="n">
        <x:v>1</x:v>
      </x:c>
    </x:row>
    <x:row r="274">
      <x:c r="A274" s="220" t="n">
        <x:v>46252</x:v>
      </x:c>
      <x:c r="B274" s="170" t="str">
        <x:v>Chest</x:v>
      </x:c>
      <x:c r="C274" s="170" t="str">
        <x:v>Flat Bench Press</x:v>
      </x:c>
      <x:c r="D274" s="170" t="n">
        <x:v>3</x:v>
      </x:c>
      <x:c r="E274" s="170" t="n">
        <x:v>22.5</x:v>
      </x:c>
      <x:c r="F274" s="170" t="str">
        <x:v>kg plates each side; bar excluded</x:v>
      </x:c>
      <x:c r="G274" s="170" t="n">
        <x:v>7</x:v>
      </x:c>
      <x:c r="H274" s="170" t="str">
        <x:v>No assistance; matched prior result</x:v>
      </x:c>
      <x:c r="I274" s="170" t="str">
        <x:v>No pain; little lower-biceps pump after final cable-fly set; exact side and resolution To verify</x:v>
      </x:c>
      <x:c r="J274" s="170" t="str">
        <x:v>Medium to low final</x:v>
      </x:c>
      <x:c r="K274" s="170" t="str">
        <x:v>Good</x:v>
      </x:c>
      <x:c r="L274" s="170"/>
      <x:c r="M274" s="170" t="str">
        <x:v>Working</x:v>
      </x:c>
      <x:c r="N274" s="170" t="n">
        <x:v>1</x:v>
      </x:c>
    </x:row>
    <x:row r="275">
      <x:c r="A275" s="220" t="n">
        <x:v>46252</x:v>
      </x:c>
      <x:c r="B275" s="170" t="str">
        <x:v>Chest</x:v>
      </x:c>
      <x:c r="C275" s="170" t="str">
        <x:v>Incline Barbell Bench Press</x:v>
      </x:c>
      <x:c r="D275" s="170" t="n">
        <x:v>1</x:v>
      </x:c>
      <x:c r="E275" s="170" t="n">
        <x:v>10</x:v>
      </x:c>
      <x:c r="F275" s="170" t="str">
        <x:v>kg plates each side; bar excluded</x:v>
      </x:c>
      <x:c r="G275" s="170" t="n">
        <x:v>13</x:v>
      </x:c>
      <x:c r="H275" s="170" t="str">
        <x:v>No assistance; performed before plate chest press</x:v>
      </x:c>
      <x:c r="I275" s="170" t="str">
        <x:v>No pain; little lower-biceps pump after final cable-fly set; exact side and resolution To verify</x:v>
      </x:c>
      <x:c r="J275" s="170" t="str">
        <x:v>Medium to low final</x:v>
      </x:c>
      <x:c r="K275" s="170" t="str">
        <x:v>Good</x:v>
      </x:c>
      <x:c r="L275" s="170"/>
      <x:c r="M275" s="170" t="str">
        <x:v>Working</x:v>
      </x:c>
      <x:c r="N275" s="170" t="n">
        <x:v>2</x:v>
      </x:c>
    </x:row>
    <x:row r="276">
      <x:c r="A276" s="220" t="n">
        <x:v>46252</x:v>
      </x:c>
      <x:c r="B276" s="170" t="str">
        <x:v>Chest</x:v>
      </x:c>
      <x:c r="C276" s="170" t="str">
        <x:v>Incline Barbell Bench Press</x:v>
      </x:c>
      <x:c r="D276" s="170" t="n">
        <x:v>2</x:v>
      </x:c>
      <x:c r="E276" s="170" t="n">
        <x:v>12.5</x:v>
      </x:c>
      <x:c r="F276" s="170" t="str">
        <x:v>kg plates each side; bar excluded</x:v>
      </x:c>
      <x:c r="G276" s="170" t="n">
        <x:v>11</x:v>
      </x:c>
      <x:c r="H276" s="170" t="str">
        <x:v>No assistance; performed before plate chest press</x:v>
      </x:c>
      <x:c r="I276" s="170" t="str">
        <x:v>No pain; little lower-biceps pump after final cable-fly set; exact side and resolution To verify</x:v>
      </x:c>
      <x:c r="J276" s="170" t="str">
        <x:v>Medium to low final</x:v>
      </x:c>
      <x:c r="K276" s="170" t="str">
        <x:v>Good</x:v>
      </x:c>
      <x:c r="L276" s="170"/>
      <x:c r="M276" s="170" t="str">
        <x:v>Working</x:v>
      </x:c>
      <x:c r="N276" s="170" t="n">
        <x:v>2</x:v>
      </x:c>
    </x:row>
    <x:row r="277">
      <x:c r="A277" s="220" t="n">
        <x:v>46252</x:v>
      </x:c>
      <x:c r="B277" s="170" t="str">
        <x:v>Chest</x:v>
      </x:c>
      <x:c r="C277" s="170" t="str">
        <x:v>Incline Barbell Bench Press</x:v>
      </x:c>
      <x:c r="D277" s="170" t="n">
        <x:v>3</x:v>
      </x:c>
      <x:c r="E277" s="170" t="n">
        <x:v>15</x:v>
      </x:c>
      <x:c r="F277" s="170" t="str">
        <x:v>kg plates each side; bar excluded</x:v>
      </x:c>
      <x:c r="G277" s="170" t="n">
        <x:v>9</x:v>
      </x:c>
      <x:c r="H277" s="170" t="str">
        <x:v>No assistance; progressed from 8 nearly assisted reps to 9 clean reps</x:v>
      </x:c>
      <x:c r="I277" s="170" t="str">
        <x:v>No pain; little lower-biceps pump after final cable-fly set; exact side and resolution To verify</x:v>
      </x:c>
      <x:c r="J277" s="170" t="str">
        <x:v>Medium to low final</x:v>
      </x:c>
      <x:c r="K277" s="170" t="str">
        <x:v>Good</x:v>
      </x:c>
      <x:c r="L277" s="170"/>
      <x:c r="M277" s="170" t="str">
        <x:v>Working</x:v>
      </x:c>
      <x:c r="N277" s="170" t="n">
        <x:v>1</x:v>
      </x:c>
    </x:row>
    <x:row r="278">
      <x:c r="A278" s="220" t="n">
        <x:v>46252</x:v>
      </x:c>
      <x:c r="B278" s="170" t="str">
        <x:v>Chest</x:v>
      </x:c>
      <x:c r="C278" s="170" t="str">
        <x:v>Plate Chest Press</x:v>
      </x:c>
      <x:c r="D278" s="170" t="n">
        <x:v>1</x:v>
      </x:c>
      <x:c r="E278" s="170" t="n">
        <x:v>30</x:v>
      </x:c>
      <x:c r="F278" s="170" t="str">
        <x:v>kg plates each side</x:v>
      </x:c>
      <x:c r="G278" s="170" t="n">
        <x:v>15</x:v>
      </x:c>
      <x:c r="H278" s="170" t="str">
        <x:v>Clean and unassisted</x:v>
      </x:c>
      <x:c r="I278" s="170" t="str">
        <x:v>No pain; little lower-biceps pump after final cable-fly set; exact side and resolution To verify</x:v>
      </x:c>
      <x:c r="J278" s="170" t="str">
        <x:v>Medium to low final</x:v>
      </x:c>
      <x:c r="K278" s="170" t="str">
        <x:v>Good</x:v>
      </x:c>
      <x:c r="L278" s="170"/>
      <x:c r="M278" s="170" t="str">
        <x:v>Working</x:v>
      </x:c>
      <x:c r="N278" s="170" t="n">
        <x:v>2</x:v>
      </x:c>
    </x:row>
    <x:row r="279">
      <x:c r="A279" s="220" t="n">
        <x:v>46252</x:v>
      </x:c>
      <x:c r="B279" s="170" t="str">
        <x:v>Chest</x:v>
      </x:c>
      <x:c r="C279" s="170" t="str">
        <x:v>Plate Chest Press</x:v>
      </x:c>
      <x:c r="D279" s="170" t="n">
        <x:v>2</x:v>
      </x:c>
      <x:c r="E279" s="170" t="n">
        <x:v>40</x:v>
      </x:c>
      <x:c r="F279" s="170" t="str">
        <x:v>kg plates each side</x:v>
      </x:c>
      <x:c r="G279" s="170" t="n">
        <x:v>10</x:v>
      </x:c>
      <x:c r="H279" s="170" t="str">
        <x:v>Clean and unassisted</x:v>
      </x:c>
      <x:c r="I279" s="170" t="str">
        <x:v>No pain; little lower-biceps pump after final cable-fly set; exact side and resolution To verify</x:v>
      </x:c>
      <x:c r="J279" s="170" t="str">
        <x:v>Medium to low final</x:v>
      </x:c>
      <x:c r="K279" s="170" t="str">
        <x:v>Good</x:v>
      </x:c>
      <x:c r="L279" s="170"/>
      <x:c r="M279" s="170" t="str">
        <x:v>Working</x:v>
      </x:c>
      <x:c r="N279" s="170" t="n">
        <x:v>2</x:v>
      </x:c>
    </x:row>
    <x:row r="280">
      <x:c r="A280" s="220" t="n">
        <x:v>46252</x:v>
      </x:c>
      <x:c r="B280" s="170" t="str">
        <x:v>Chest</x:v>
      </x:c>
      <x:c r="C280" s="170" t="str">
        <x:v>Plate Chest Press</x:v>
      </x:c>
      <x:c r="D280" s="170" t="n">
        <x:v>3</x:v>
      </x:c>
      <x:c r="E280" s="170" t="n">
        <x:v>45</x:v>
      </x:c>
      <x:c r="F280" s="170" t="str">
        <x:v>kg plates each side</x:v>
      </x:c>
      <x:c r="G280" s="170" t="n">
        <x:v>8</x:v>
      </x:c>
      <x:c r="H280" s="170" t="str">
        <x:v>New baseline; explicitly confirmed clean and unassisted</x:v>
      </x:c>
      <x:c r="I280" s="170" t="str">
        <x:v>No pain; little lower-biceps pump after final cable-fly set; exact side and resolution To verify</x:v>
      </x:c>
      <x:c r="J280" s="170" t="str">
        <x:v>Medium to low final</x:v>
      </x:c>
      <x:c r="K280" s="170" t="str">
        <x:v>Good</x:v>
      </x:c>
      <x:c r="L280" s="170"/>
      <x:c r="M280" s="170" t="str">
        <x:v>Working</x:v>
      </x:c>
      <x:c r="N280" s="170" t="n">
        <x:v>1</x:v>
      </x:c>
    </x:row>
    <x:row r="281">
      <x:c r="A281" s="220" t="n">
        <x:v>46252</x:v>
      </x:c>
      <x:c r="B281" s="170" t="str">
        <x:v>Chest</x:v>
      </x:c>
      <x:c r="C281" s="170" t="str">
        <x:v>Pec Deck Fly</x:v>
      </x:c>
      <x:c r="D281" s="170" t="n">
        <x:v>1</x:v>
      </x:c>
      <x:c r="E281" s="170" t="n">
        <x:v>45</x:v>
      </x:c>
      <x:c r="F281" s="170" t="str">
        <x:v>kg total machine stack</x:v>
      </x:c>
      <x:c r="G281" s="170" t="n">
        <x:v>15</x:v>
      </x:c>
      <x:c r="H281" s="170" t="str">
        <x:v>No assistance reported</x:v>
      </x:c>
      <x:c r="I281" s="170" t="str">
        <x:v>No pain; little lower-biceps pump after final cable-fly set; exact side and resolution To verify</x:v>
      </x:c>
      <x:c r="J281" s="170" t="str">
        <x:v>Medium to low final</x:v>
      </x:c>
      <x:c r="K281" s="170" t="str">
        <x:v>Good</x:v>
      </x:c>
      <x:c r="L281" s="170"/>
      <x:c r="M281" s="170" t="str">
        <x:v>Working</x:v>
      </x:c>
      <x:c r="N281" s="170" t="n">
        <x:v>2</x:v>
      </x:c>
    </x:row>
    <x:row r="282">
      <x:c r="A282" s="220" t="n">
        <x:v>46252</x:v>
      </x:c>
      <x:c r="B282" s="170" t="str">
        <x:v>Chest</x:v>
      </x:c>
      <x:c r="C282" s="170" t="str">
        <x:v>Pec Deck Fly</x:v>
      </x:c>
      <x:c r="D282" s="170" t="n">
        <x:v>2</x:v>
      </x:c>
      <x:c r="E282" s="170" t="n">
        <x:v>50</x:v>
      </x:c>
      <x:c r="F282" s="170" t="str">
        <x:v>kg total machine stack</x:v>
      </x:c>
      <x:c r="G282" s="170" t="n">
        <x:v>12</x:v>
      </x:c>
      <x:c r="H282" s="170" t="str">
        <x:v>No assistance reported</x:v>
      </x:c>
      <x:c r="I282" s="170" t="str">
        <x:v>No pain; little lower-biceps pump after final cable-fly set; exact side and resolution To verify</x:v>
      </x:c>
      <x:c r="J282" s="170" t="str">
        <x:v>Medium to low final</x:v>
      </x:c>
      <x:c r="K282" s="170" t="str">
        <x:v>Good</x:v>
      </x:c>
      <x:c r="L282" s="170"/>
      <x:c r="M282" s="170" t="str">
        <x:v>Working</x:v>
      </x:c>
      <x:c r="N282" s="170" t="n">
        <x:v>2</x:v>
      </x:c>
    </x:row>
    <x:row r="283">
      <x:c r="A283" s="220" t="n">
        <x:v>46252</x:v>
      </x:c>
      <x:c r="B283" s="170" t="str">
        <x:v>Chest</x:v>
      </x:c>
      <x:c r="C283" s="170" t="str">
        <x:v>Pec Deck Fly</x:v>
      </x:c>
      <x:c r="D283" s="170" t="n">
        <x:v>3</x:v>
      </x:c>
      <x:c r="E283" s="170" t="n">
        <x:v>55</x:v>
      </x:c>
      <x:c r="F283" s="170" t="str">
        <x:v>kg total machine stack</x:v>
      </x:c>
      <x:c r="G283" s="170" t="n">
        <x:v>12</x:v>
      </x:c>
      <x:c r="H283" s="170" t="str">
        <x:v>Progressed from 11 to 12 reps; no assistance</x:v>
      </x:c>
      <x:c r="I283" s="170" t="str">
        <x:v>No pain; little lower-biceps pump after final cable-fly set; exact side and resolution To verify</x:v>
      </x:c>
      <x:c r="J283" s="170" t="str">
        <x:v>Medium to low final</x:v>
      </x:c>
      <x:c r="K283" s="170" t="str">
        <x:v>Good</x:v>
      </x:c>
      <x:c r="L283" s="170"/>
      <x:c r="M283" s="170" t="str">
        <x:v>Working</x:v>
      </x:c>
      <x:c r="N283" s="170" t="n">
        <x:v>1</x:v>
      </x:c>
    </x:row>
    <x:row r="284">
      <x:c r="A284" s="220" t="n">
        <x:v>46252</x:v>
      </x:c>
      <x:c r="B284" s="170" t="str">
        <x:v>Chest</x:v>
      </x:c>
      <x:c r="C284" s="170" t="str">
        <x:v>Cable Fly</x:v>
      </x:c>
      <x:c r="D284" s="170" t="n">
        <x:v>1</x:v>
      </x:c>
      <x:c r="E284" s="170" t="n">
        <x:v>15</x:v>
      </x:c>
      <x:c r="F284" s="170" t="str">
        <x:v>kg each side; conventional horizontal path</x:v>
      </x:c>
      <x:c r="G284" s="170" t="n">
        <x:v>25</x:v>
      </x:c>
      <x:c r="H284" s="170" t="str">
        <x:v>No assistance; load now too light for efficient working use</x:v>
      </x:c>
      <x:c r="I284" s="170" t="str">
        <x:v>No pain; little lower-biceps pump after final cable-fly set; exact side and resolution To verify</x:v>
      </x:c>
      <x:c r="J284" s="170" t="str">
        <x:v>Medium to low final</x:v>
      </x:c>
      <x:c r="K284" s="170" t="str">
        <x:v>Good</x:v>
      </x:c>
      <x:c r="L284" s="170"/>
      <x:c r="M284" s="170" t="str">
        <x:v>Working</x:v>
      </x:c>
      <x:c r="N284" s="170" t="n">
        <x:v>3</x:v>
      </x:c>
    </x:row>
    <x:row r="285">
      <x:c r="A285" s="220" t="n">
        <x:v>46252</x:v>
      </x:c>
      <x:c r="B285" s="170" t="str">
        <x:v>Chest</x:v>
      </x:c>
      <x:c r="C285" s="170" t="str">
        <x:v>Cable Fly</x:v>
      </x:c>
      <x:c r="D285" s="170" t="n">
        <x:v>2</x:v>
      </x:c>
      <x:c r="E285" s="170" t="n">
        <x:v>20</x:v>
      </x:c>
      <x:c r="F285" s="170" t="str">
        <x:v>kg each side; conventional horizontal path</x:v>
      </x:c>
      <x:c r="G285" s="170" t="n">
        <x:v>14</x:v>
      </x:c>
      <x:c r="H285" s="170" t="str">
        <x:v>No assistance; controlled-form detail To verify</x:v>
      </x:c>
      <x:c r="I285" s="170" t="str">
        <x:v>No pain; little lower-biceps pump after final cable-fly set; exact side and resolution To verify</x:v>
      </x:c>
      <x:c r="J285" s="170" t="str">
        <x:v>Medium to low final</x:v>
      </x:c>
      <x:c r="K285" s="170" t="str">
        <x:v>Good</x:v>
      </x:c>
      <x:c r="L285" s="170"/>
      <x:c r="M285" s="170" t="str">
        <x:v>Working</x:v>
      </x:c>
      <x:c r="N285" s="170" t="n">
        <x:v>2</x:v>
      </x:c>
    </x:row>
    <x:row r="286">
      <x:c r="A286" s="220" t="n">
        <x:v>46252</x:v>
      </x:c>
      <x:c r="B286" s="170" t="str">
        <x:v>Chest</x:v>
      </x:c>
      <x:c r="C286" s="170" t="str">
        <x:v>Cable Fly</x:v>
      </x:c>
      <x:c r="D286" s="170" t="n">
        <x:v>3</x:v>
      </x:c>
      <x:c r="E286" s="170" t="n">
        <x:v>25</x:v>
      </x:c>
      <x:c r="F286" s="170" t="str">
        <x:v>kg each side; conventional horizontal path</x:v>
      </x:c>
      <x:c r="G286" s="170" t="n">
        <x:v>12</x:v>
      </x:c>
      <x:c r="H286" s="170" t="str">
        <x:v>No assistance; progressed from 10 to 12 reps</x:v>
      </x:c>
      <x:c r="I286" s="170" t="str">
        <x:v>No pain; little lower-biceps pump after final cable-fly set; exact side and resolution To verify</x:v>
      </x:c>
      <x:c r="J286" s="170" t="str">
        <x:v>Medium to low final</x:v>
      </x:c>
      <x:c r="K286" s="170" t="str">
        <x:v>Good</x:v>
      </x:c>
      <x:c r="L286" s="170"/>
      <x:c r="M286" s="170" t="str">
        <x:v>Working</x:v>
      </x:c>
      <x:c r="N286" s="170" t="n">
        <x:v>2</x:v>
      </x:c>
    </x:row>
    <x:row r="287">
      <x:c r="A287" s="220" t="n">
        <x:v>46252</x:v>
      </x:c>
      <x:c r="B287" s="170" t="str">
        <x:v>Chest</x:v>
      </x:c>
      <x:c r="C287" s="170" t="str">
        <x:v>Front Plank</x:v>
      </x:c>
      <x:c r="D287" s="170" t="n">
        <x:v>1</x:v>
      </x:c>
      <x:c r="E287" s="170" t="str">
        <x:v>Body weight</x:v>
      </x:c>
      <x:c r="F287" s="170" t="str">
        <x:v>seconds</x:v>
      </x:c>
      <x:c r="G287" s="170" t="n">
        <x:v>60</x:v>
      </x:c>
      <x:c r="H287" s="170" t="str">
        <x:v>Strict completion; no hip sag or lower-back discomfort</x:v>
      </x:c>
      <x:c r="I287" s="170" t="str">
        <x:v>No pain; little lower-biceps pump after final cable-fly set; exact side and resolution To verify</x:v>
      </x:c>
      <x:c r="J287" s="170" t="str">
        <x:v>Medium to low final</x:v>
      </x:c>
      <x:c r="K287" s="170" t="str">
        <x:v>Good</x:v>
      </x:c>
      <x:c r="L287" s="170"/>
      <x:c r="M287" s="170" t="str">
        <x:v>Core finisher</x:v>
      </x:c>
      <x:c r="N287" s="170" t="str">
        <x:v>To verify</x:v>
      </x:c>
    </x:row>
    <x:row r="288">
      <x:c r="A288" s="220" t="n">
        <x:v>46252</x:v>
      </x:c>
      <x:c r="B288" s="170" t="str">
        <x:v>Chest</x:v>
      </x:c>
      <x:c r="C288" s="170" t="str">
        <x:v>Front Plank</x:v>
      </x:c>
      <x:c r="D288" s="170" t="n">
        <x:v>2</x:v>
      </x:c>
      <x:c r="E288" s="170" t="str">
        <x:v>Body weight</x:v>
      </x:c>
      <x:c r="F288" s="170" t="str">
        <x:v>seconds</x:v>
      </x:c>
      <x:c r="G288" s="170" t="n">
        <x:v>60</x:v>
      </x:c>
      <x:c r="H288" s="170" t="str">
        <x:v>Strict completion; no hip sag or lower-back discomfort</x:v>
      </x:c>
      <x:c r="I288" s="170" t="str">
        <x:v>No pain; little lower-biceps pump after final cable-fly set; exact side and resolution To verify</x:v>
      </x:c>
      <x:c r="J288" s="170" t="str">
        <x:v>Medium to low final</x:v>
      </x:c>
      <x:c r="K288" s="170" t="str">
        <x:v>Good</x:v>
      </x:c>
      <x:c r="L288" s="170"/>
      <x:c r="M288" s="170" t="str">
        <x:v>Core finisher</x:v>
      </x:c>
      <x:c r="N288" s="170" t="str">
        <x:v>To verify</x:v>
      </x:c>
    </x:row>
    <x:row r="289">
      <x:c r="A289" s="220" t="n">
        <x:v>46252</x:v>
      </x:c>
      <x:c r="B289" s="170" t="str">
        <x:v>Chest</x:v>
      </x:c>
      <x:c r="C289" s="170" t="str">
        <x:v>Front Plank</x:v>
      </x:c>
      <x:c r="D289" s="170" t="n">
        <x:v>3</x:v>
      </x:c>
      <x:c r="E289" s="170" t="str">
        <x:v>Body weight</x:v>
      </x:c>
      <x:c r="F289" s="170" t="str">
        <x:v>seconds</x:v>
      </x:c>
      <x:c r="G289" s="170" t="n">
        <x:v>60</x:v>
      </x:c>
      <x:c r="H289" s="170" t="str">
        <x:v>Strict completion; no hip sag or lower-back discomfort</x:v>
      </x:c>
      <x:c r="I289" s="170" t="str">
        <x:v>No pain; little lower-biceps pump after final cable-fly set; exact side and resolution To verify</x:v>
      </x:c>
      <x:c r="J289" s="170" t="str">
        <x:v>Medium to low final</x:v>
      </x:c>
      <x:c r="K289" s="170" t="str">
        <x:v>Good</x:v>
      </x:c>
      <x:c r="L289" s="170"/>
      <x:c r="M289" s="170" t="str">
        <x:v>Core finisher</x:v>
      </x:c>
      <x:c r="N289" s="170" t="str">
        <x:v>To verify</x:v>
      </x:c>
    </x:row>
    <x:row r="290">
      <x:c r="A290" s="220" t="n">
        <x:v>46253</x:v>
      </x:c>
      <x:c r="B290" s="170" t="str">
        <x:v>Biceps</x:v>
      </x:c>
      <x:c r="C290" s="170" t="str">
        <x:v>Straight Bar Curl</x:v>
      </x:c>
      <x:c r="D290" s="170" t="n">
        <x:v>1</x:v>
      </x:c>
      <x:c r="E290" s="170" t="n">
        <x:v>7.5</x:v>
      </x:c>
      <x:c r="F290" s="170" t="str">
        <x:v>kg plates each side; bar excluded</x:v>
      </x:c>
      <x:c r="G290" s="170" t="n">
        <x:v>15</x:v>
      </x:c>
      <x:c r="H290" s="170" t="str">
        <x:v>Clean; no assistance or body swing</x:v>
      </x:c>
      <x:c r="I290" s="170" t="str">
        <x:v>Usual overall biceps sensation; no unusual lower-biceps symptom; no elbow, wrist or shoulder pain</x:v>
      </x:c>
      <x:c r="J290" s="170" t="str">
        <x:v>Low final</x:v>
      </x:c>
      <x:c r="K290" s="170" t="str">
        <x:v>Good</x:v>
      </x:c>
      <x:c r="L290" s="170"/>
      <x:c r="M290" s="170" t="str">
        <x:v>Working</x:v>
      </x:c>
      <x:c r="N290" s="170" t="n">
        <x:v>3</x:v>
      </x:c>
    </x:row>
    <x:row r="291">
      <x:c r="A291" s="220" t="n">
        <x:v>46253</x:v>
      </x:c>
      <x:c r="B291" s="170" t="str">
        <x:v>Biceps</x:v>
      </x:c>
      <x:c r="C291" s="170" t="str">
        <x:v>Straight Bar Curl</x:v>
      </x:c>
      <x:c r="D291" s="170" t="n">
        <x:v>2</x:v>
      </x:c>
      <x:c r="E291" s="170" t="n">
        <x:v>10</x:v>
      </x:c>
      <x:c r="F291" s="170" t="str">
        <x:v>kg plates each side; bar excluded</x:v>
      </x:c>
      <x:c r="G291" s="170" t="n">
        <x:v>13</x:v>
      </x:c>
      <x:c r="H291" s="170" t="str">
        <x:v>Clean; no assistance or body swing</x:v>
      </x:c>
      <x:c r="I291" s="170" t="str">
        <x:v>Usual overall biceps sensation; no unusual lower-biceps symptom; no elbow, wrist or shoulder pain</x:v>
      </x:c>
      <x:c r="J291" s="170" t="str">
        <x:v>Low final</x:v>
      </x:c>
      <x:c r="K291" s="170" t="str">
        <x:v>Good</x:v>
      </x:c>
      <x:c r="L291" s="170"/>
      <x:c r="M291" s="170" t="str">
        <x:v>Working</x:v>
      </x:c>
      <x:c r="N291" s="170" t="n">
        <x:v>2</x:v>
      </x:c>
    </x:row>
    <x:row r="292">
      <x:c r="A292" s="220" t="n">
        <x:v>46253</x:v>
      </x:c>
      <x:c r="B292" s="170" t="str">
        <x:v>Biceps</x:v>
      </x:c>
      <x:c r="C292" s="170" t="str">
        <x:v>Straight Bar Curl</x:v>
      </x:c>
      <x:c r="D292" s="170" t="n">
        <x:v>3</x:v>
      </x:c>
      <x:c r="E292" s="170" t="n">
        <x:v>12.5</x:v>
      </x:c>
      <x:c r="F292" s="170" t="str">
        <x:v>kg plates each side; bar excluded</x:v>
      </x:c>
      <x:c r="G292" s="170" t="n">
        <x:v>11</x:v>
      </x:c>
      <x:c r="H292" s="170" t="str">
        <x:v>Clean; no assistance or body swing</x:v>
      </x:c>
      <x:c r="I292" s="170" t="str">
        <x:v>Usual overall biceps sensation; no unusual lower-biceps symptom; no elbow, wrist or shoulder pain</x:v>
      </x:c>
      <x:c r="J292" s="170" t="str">
        <x:v>Low final</x:v>
      </x:c>
      <x:c r="K292" s="170" t="str">
        <x:v>Good</x:v>
      </x:c>
      <x:c r="L292" s="170"/>
      <x:c r="M292" s="170" t="str">
        <x:v>Working</x:v>
      </x:c>
      <x:c r="N292" s="170" t="n">
        <x:v>2</x:v>
      </x:c>
    </x:row>
    <x:row r="293">
      <x:c r="A293" s="220" t="n">
        <x:v>46253</x:v>
      </x:c>
      <x:c r="B293" s="170" t="str">
        <x:v>Biceps</x:v>
      </x:c>
      <x:c r="C293" s="170" t="str">
        <x:v>Straight Bar Curl</x:v>
      </x:c>
      <x:c r="D293" s="170" t="n">
        <x:v>4</x:v>
      </x:c>
      <x:c r="E293" s="170" t="n">
        <x:v>15</x:v>
      </x:c>
      <x:c r="F293" s="170" t="str">
        <x:v>kg plates each side; bar excluded</x:v>
      </x:c>
      <x:c r="G293" s="170" t="n">
        <x:v>8</x:v>
      </x:c>
      <x:c r="H293" s="170" t="str">
        <x:v>Clean; no assistance or body swing</x:v>
      </x:c>
      <x:c r="I293" s="170" t="str">
        <x:v>Usual overall biceps sensation; no unusual lower-biceps symptom; no elbow, wrist or shoulder pain</x:v>
      </x:c>
      <x:c r="J293" s="170" t="str">
        <x:v>Low final</x:v>
      </x:c>
      <x:c r="K293" s="170" t="str">
        <x:v>Good</x:v>
      </x:c>
      <x:c r="L293" s="170" t="str">
        <x:v>Progressed from 7 reps at RIR 1 to 8 reps at RIR 2</x:v>
      </x:c>
      <x:c r="M293" s="170" t="str">
        <x:v>Working</x:v>
      </x:c>
      <x:c r="N293" s="170" t="n">
        <x:v>2</x:v>
      </x:c>
    </x:row>
    <x:row r="294">
      <x:c r="A294" s="220" t="n">
        <x:v>46253</x:v>
      </x:c>
      <x:c r="B294" s="170" t="str">
        <x:v>Biceps</x:v>
      </x:c>
      <x:c r="C294" s="170" t="str">
        <x:v>Incline Dumbbell Curl</x:v>
      </x:c>
      <x:c r="D294" s="170" t="n">
        <x:v>1</x:v>
      </x:c>
      <x:c r="E294" s="170" t="n">
        <x:v>7.5</x:v>
      </x:c>
      <x:c r="F294" s="170" t="str">
        <x:v>kg each dumbbell</x:v>
      </x:c>
      <x:c r="G294" s="170" t="n">
        <x:v>15</x:v>
      </x:c>
      <x:c r="H294" s="170" t="str">
        <x:v>Clean and controlled; no shoulder pain</x:v>
      </x:c>
      <x:c r="I294" s="170" t="str">
        <x:v>Usual overall biceps sensation; no unusual lower-biceps symptom; no elbow, wrist or shoulder pain</x:v>
      </x:c>
      <x:c r="J294" s="170" t="str">
        <x:v>Low final</x:v>
      </x:c>
      <x:c r="K294" s="170" t="str">
        <x:v>Good</x:v>
      </x:c>
      <x:c r="L294" s="170"/>
      <x:c r="M294" s="170" t="str">
        <x:v>Working</x:v>
      </x:c>
      <x:c r="N294" s="170" t="n">
        <x:v>2</x:v>
      </x:c>
    </x:row>
    <x:row r="295">
      <x:c r="A295" s="220" t="n">
        <x:v>46253</x:v>
      </x:c>
      <x:c r="B295" s="170" t="str">
        <x:v>Biceps</x:v>
      </x:c>
      <x:c r="C295" s="170" t="str">
        <x:v>Incline Dumbbell Curl</x:v>
      </x:c>
      <x:c r="D295" s="170" t="n">
        <x:v>2</x:v>
      </x:c>
      <x:c r="E295" s="170" t="n">
        <x:v>10</x:v>
      </x:c>
      <x:c r="F295" s="170" t="str">
        <x:v>kg each dumbbell</x:v>
      </x:c>
      <x:c r="G295" s="170" t="n">
        <x:v>13</x:v>
      </x:c>
      <x:c r="H295" s="170" t="str">
        <x:v>Clean and controlled; no shoulder pain</x:v>
      </x:c>
      <x:c r="I295" s="170" t="str">
        <x:v>Usual overall biceps sensation; no unusual lower-biceps symptom; no elbow, wrist or shoulder pain</x:v>
      </x:c>
      <x:c r="J295" s="170" t="str">
        <x:v>Low final</x:v>
      </x:c>
      <x:c r="K295" s="170" t="str">
        <x:v>Good</x:v>
      </x:c>
      <x:c r="L295" s="170"/>
      <x:c r="M295" s="170" t="str">
        <x:v>Working</x:v>
      </x:c>
      <x:c r="N295" s="170" t="n">
        <x:v>2</x:v>
      </x:c>
    </x:row>
    <x:row r="296">
      <x:c r="A296" s="220" t="n">
        <x:v>46253</x:v>
      </x:c>
      <x:c r="B296" s="170" t="str">
        <x:v>Biceps</x:v>
      </x:c>
      <x:c r="C296" s="170" t="str">
        <x:v>Incline Dumbbell Curl</x:v>
      </x:c>
      <x:c r="D296" s="170" t="n">
        <x:v>3</x:v>
      </x:c>
      <x:c r="E296" s="170" t="n">
        <x:v>12.5</x:v>
      </x:c>
      <x:c r="F296" s="170" t="str">
        <x:v>kg each dumbbell</x:v>
      </x:c>
      <x:c r="G296" s="170" t="n">
        <x:v>9</x:v>
      </x:c>
      <x:c r="H296" s="170" t="str">
        <x:v>Clean and controlled; no shoulder pain</x:v>
      </x:c>
      <x:c r="I296" s="170" t="str">
        <x:v>Usual overall biceps sensation; no unusual lower-biceps symptom; no elbow, wrist or shoulder pain</x:v>
      </x:c>
      <x:c r="J296" s="170" t="str">
        <x:v>Low final</x:v>
      </x:c>
      <x:c r="K296" s="170" t="str">
        <x:v>Good</x:v>
      </x:c>
      <x:c r="L296" s="170" t="str">
        <x:v>New tracked baseline; replaced Cable Curl in active sequence</x:v>
      </x:c>
      <x:c r="M296" s="170" t="str">
        <x:v>Working</x:v>
      </x:c>
      <x:c r="N296" s="170" t="n">
        <x:v>2</x:v>
      </x:c>
    </x:row>
    <x:row r="297">
      <x:c r="A297" s="220" t="n">
        <x:v>46253</x:v>
      </x:c>
      <x:c r="B297" s="170" t="str">
        <x:v>Biceps</x:v>
      </x:c>
      <x:c r="C297" s="170" t="str">
        <x:v>Plate Curl Machine</x:v>
      </x:c>
      <x:c r="D297" s="170" t="n">
        <x:v>1</x:v>
      </x:c>
      <x:c r="E297" s="170" t="n">
        <x:v>7.5</x:v>
      </x:c>
      <x:c r="F297" s="170" t="str">
        <x:v>kg plates each side</x:v>
      </x:c>
      <x:c r="G297" s="170" t="n">
        <x:v>15</x:v>
      </x:c>
      <x:c r="H297" s="170" t="str">
        <x:v>Clean and controlled</x:v>
      </x:c>
      <x:c r="I297" s="170" t="str">
        <x:v>Usual overall biceps sensation; no unusual lower-biceps symptom; no elbow, wrist or shoulder pain</x:v>
      </x:c>
      <x:c r="J297" s="170" t="str">
        <x:v>Low final</x:v>
      </x:c>
      <x:c r="K297" s="170" t="str">
        <x:v>Good</x:v>
      </x:c>
      <x:c r="L297" s="170"/>
      <x:c r="M297" s="170" t="str">
        <x:v>Working</x:v>
      </x:c>
      <x:c r="N297" s="170" t="n">
        <x:v>3</x:v>
      </x:c>
    </x:row>
    <x:row r="298">
      <x:c r="A298" s="220" t="n">
        <x:v>46253</x:v>
      </x:c>
      <x:c r="B298" s="170" t="str">
        <x:v>Biceps</x:v>
      </x:c>
      <x:c r="C298" s="170" t="str">
        <x:v>Plate Curl Machine</x:v>
      </x:c>
      <x:c r="D298" s="170" t="n">
        <x:v>2</x:v>
      </x:c>
      <x:c r="E298" s="170" t="n">
        <x:v>10</x:v>
      </x:c>
      <x:c r="F298" s="170" t="str">
        <x:v>kg plates each side</x:v>
      </x:c>
      <x:c r="G298" s="170" t="n">
        <x:v>12</x:v>
      </x:c>
      <x:c r="H298" s="170" t="str">
        <x:v>Clean and controlled</x:v>
      </x:c>
      <x:c r="I298" s="170" t="str">
        <x:v>Usual overall biceps sensation; no unusual lower-biceps symptom; no elbow, wrist or shoulder pain</x:v>
      </x:c>
      <x:c r="J298" s="170" t="str">
        <x:v>Low final</x:v>
      </x:c>
      <x:c r="K298" s="170" t="str">
        <x:v>Good</x:v>
      </x:c>
      <x:c r="L298" s="170"/>
      <x:c r="M298" s="170" t="str">
        <x:v>Working</x:v>
      </x:c>
      <x:c r="N298" s="170" t="n">
        <x:v>2</x:v>
      </x:c>
    </x:row>
    <x:row r="299">
      <x:c r="A299" s="220" t="n">
        <x:v>46253</x:v>
      </x:c>
      <x:c r="B299" s="170" t="str">
        <x:v>Biceps</x:v>
      </x:c>
      <x:c r="C299" s="170" t="str">
        <x:v>Plate Curl Machine</x:v>
      </x:c>
      <x:c r="D299" s="170" t="n">
        <x:v>3</x:v>
      </x:c>
      <x:c r="E299" s="170" t="n">
        <x:v>12.5</x:v>
      </x:c>
      <x:c r="F299" s="170" t="str">
        <x:v>kg plates each side</x:v>
      </x:c>
      <x:c r="G299" s="170" t="n">
        <x:v>10</x:v>
      </x:c>
      <x:c r="H299" s="170" t="str">
        <x:v>Clean and controlled</x:v>
      </x:c>
      <x:c r="I299" s="170" t="str">
        <x:v>Usual overall biceps sensation; no unusual lower-biceps symptom; no elbow, wrist or shoulder pain</x:v>
      </x:c>
      <x:c r="J299" s="170" t="str">
        <x:v>Low final</x:v>
      </x:c>
      <x:c r="K299" s="170" t="str">
        <x:v>Good</x:v>
      </x:c>
      <x:c r="L299" s="170" t="str">
        <x:v>Progressed from 9 reps at RIR 1 to 10 reps at RIR 2</x:v>
      </x:c>
      <x:c r="M299" s="170" t="str">
        <x:v>Working</x:v>
      </x:c>
      <x:c r="N299" s="170" t="n">
        <x:v>2</x:v>
      </x:c>
    </x:row>
    <x:row r="300">
      <x:c r="A300" s="220" t="n">
        <x:v>46253</x:v>
      </x:c>
      <x:c r="B300" s="170" t="str">
        <x:v>Biceps</x:v>
      </x:c>
      <x:c r="C300" s="170" t="str">
        <x:v>Hammer Curl</x:v>
      </x:c>
      <x:c r="D300" s="170" t="n">
        <x:v>1</x:v>
      </x:c>
      <x:c r="E300" s="170" t="n">
        <x:v>12.5</x:v>
      </x:c>
      <x:c r="F300" s="170" t="str">
        <x:v>kg each dumbbell</x:v>
      </x:c>
      <x:c r="G300" s="170" t="n">
        <x:v>17</x:v>
      </x:c>
      <x:c r="H300" s="170" t="str">
        <x:v>Clean; no assistance or body swing</x:v>
      </x:c>
      <x:c r="I300" s="170" t="str">
        <x:v>Usual overall biceps sensation; no unusual lower-biceps symptom; no elbow, wrist or shoulder pain</x:v>
      </x:c>
      <x:c r="J300" s="170" t="str">
        <x:v>Low final</x:v>
      </x:c>
      <x:c r="K300" s="170" t="str">
        <x:v>Good</x:v>
      </x:c>
      <x:c r="L300" s="170" t="str">
        <x:v>Progressed from 15 to 17 reps</x:v>
      </x:c>
      <x:c r="M300" s="170" t="str">
        <x:v>Working</x:v>
      </x:c>
      <x:c r="N300" s="170" t="n">
        <x:v>2</x:v>
      </x:c>
    </x:row>
    <x:row r="301">
      <x:c r="A301" s="220" t="n">
        <x:v>46253</x:v>
      </x:c>
      <x:c r="B301" s="170" t="str">
        <x:v>Biceps</x:v>
      </x:c>
      <x:c r="C301" s="170" t="str">
        <x:v>Hammer Curl</x:v>
      </x:c>
      <x:c r="D301" s="170" t="n">
        <x:v>2</x:v>
      </x:c>
      <x:c r="E301" s="170" t="n">
        <x:v>15</x:v>
      </x:c>
      <x:c r="F301" s="170" t="str">
        <x:v>kg each dumbbell</x:v>
      </x:c>
      <x:c r="G301" s="170" t="n">
        <x:v>13</x:v>
      </x:c>
      <x:c r="H301" s="170" t="str">
        <x:v>Clean; no assistance or body swing</x:v>
      </x:c>
      <x:c r="I301" s="170" t="str">
        <x:v>Usual overall biceps sensation; no unusual lower-biceps symptom; no elbow, wrist or shoulder pain</x:v>
      </x:c>
      <x:c r="J301" s="170" t="str">
        <x:v>Low final</x:v>
      </x:c>
      <x:c r="K301" s="170" t="str">
        <x:v>Good</x:v>
      </x:c>
      <x:c r="L301" s="170"/>
      <x:c r="M301" s="170" t="str">
        <x:v>Working</x:v>
      </x:c>
      <x:c r="N301" s="170" t="n">
        <x:v>2</x:v>
      </x:c>
    </x:row>
    <x:row r="302">
      <x:c r="A302" s="220" t="n">
        <x:v>46253</x:v>
      </x:c>
      <x:c r="B302" s="170" t="str">
        <x:v>Biceps</x:v>
      </x:c>
      <x:c r="C302" s="170" t="str">
        <x:v>Hammer Curl</x:v>
      </x:c>
      <x:c r="D302" s="170" t="n">
        <x:v>3</x:v>
      </x:c>
      <x:c r="E302" s="170" t="n">
        <x:v>17.5</x:v>
      </x:c>
      <x:c r="F302" s="170" t="str">
        <x:v>kg each dumbbell</x:v>
      </x:c>
      <x:c r="G302" s="170" t="n">
        <x:v>11</x:v>
      </x:c>
      <x:c r="H302" s="170" t="str">
        <x:v>Clean; no assistance or body swing</x:v>
      </x:c>
      <x:c r="I302" s="170" t="str">
        <x:v>Usual overall biceps sensation; no unusual lower-biceps symptom; no elbow, wrist or shoulder pain</x:v>
      </x:c>
      <x:c r="J302" s="170" t="str">
        <x:v>Low final</x:v>
      </x:c>
      <x:c r="K302" s="170" t="str">
        <x:v>Good</x:v>
      </x:c>
      <x:c r="L302" s="170" t="str">
        <x:v>Maintained reps while improving from RIR 1 to RIR 2</x:v>
      </x:c>
      <x:c r="M302" s="170" t="str">
        <x:v>Working</x:v>
      </x:c>
      <x:c r="N302" s="170" t="n">
        <x:v>2</x:v>
      </x:c>
    </x:row>
    <x:row r="303">
      <x:c r="A303" s="220" t="n">
        <x:v>46253</x:v>
      </x:c>
      <x:c r="B303" s="170" t="str">
        <x:v>Biceps</x:v>
      </x:c>
      <x:c r="C303" s="170" t="str">
        <x:v>Concentration Curl</x:v>
      </x:c>
      <x:c r="D303" s="170" t="n">
        <x:v>1</x:v>
      </x:c>
      <x:c r="E303" s="170" t="n">
        <x:v>7.5</x:v>
      </x:c>
      <x:c r="F303" s="170" t="str">
        <x:v>kg each dumbbell</x:v>
      </x:c>
      <x:c r="G303" s="170" t="n">
        <x:v>16</x:v>
      </x:c>
      <x:c r="H303" s="170" t="str">
        <x:v>Clean and controlled; no assistance or body swing</x:v>
      </x:c>
      <x:c r="I303" s="170" t="str">
        <x:v>Usual overall biceps sensation; no unusual lower-biceps symptom; no elbow, wrist or shoulder pain</x:v>
      </x:c>
      <x:c r="J303" s="170" t="str">
        <x:v>Low final</x:v>
      </x:c>
      <x:c r="K303" s="170" t="str">
        <x:v>Good</x:v>
      </x:c>
      <x:c r="L303" s="170"/>
      <x:c r="M303" s="170" t="str">
        <x:v>Working</x:v>
      </x:c>
      <x:c r="N303" s="170" t="n">
        <x:v>3</x:v>
      </x:c>
    </x:row>
    <x:row r="304">
      <x:c r="A304" s="220" t="n">
        <x:v>46253</x:v>
      </x:c>
      <x:c r="B304" s="170" t="str">
        <x:v>Biceps</x:v>
      </x:c>
      <x:c r="C304" s="170" t="str">
        <x:v>Concentration Curl</x:v>
      </x:c>
      <x:c r="D304" s="170" t="n">
        <x:v>2</x:v>
      </x:c>
      <x:c r="E304" s="170" t="n">
        <x:v>10</x:v>
      </x:c>
      <x:c r="F304" s="170" t="str">
        <x:v>kg each dumbbell</x:v>
      </x:c>
      <x:c r="G304" s="170" t="n">
        <x:v>13</x:v>
      </x:c>
      <x:c r="H304" s="170" t="str">
        <x:v>Clean and controlled; no assistance or body swing</x:v>
      </x:c>
      <x:c r="I304" s="170" t="str">
        <x:v>Usual overall biceps sensation; no unusual lower-biceps symptom; no elbow, wrist or shoulder pain</x:v>
      </x:c>
      <x:c r="J304" s="170" t="str">
        <x:v>Low final</x:v>
      </x:c>
      <x:c r="K304" s="170" t="str">
        <x:v>Good</x:v>
      </x:c>
      <x:c r="L304" s="170"/>
      <x:c r="M304" s="170" t="str">
        <x:v>Working</x:v>
      </x:c>
      <x:c r="N304" s="170" t="n">
        <x:v>2</x:v>
      </x:c>
    </x:row>
    <x:row r="305">
      <x:c r="A305" s="220" t="n">
        <x:v>46253</x:v>
      </x:c>
      <x:c r="B305" s="170" t="str">
        <x:v>Biceps</x:v>
      </x:c>
      <x:c r="C305" s="170" t="str">
        <x:v>Concentration Curl</x:v>
      </x:c>
      <x:c r="D305" s="170" t="n">
        <x:v>3</x:v>
      </x:c>
      <x:c r="E305" s="170" t="n">
        <x:v>12.5</x:v>
      </x:c>
      <x:c r="F305" s="170" t="str">
        <x:v>kg each dumbbell</x:v>
      </x:c>
      <x:c r="G305" s="170" t="n">
        <x:v>10</x:v>
      </x:c>
      <x:c r="H305" s="170" t="str">
        <x:v>Clean and controlled; no assistance or body swing</x:v>
      </x:c>
      <x:c r="I305" s="170" t="str">
        <x:v>Usual overall biceps sensation; no unusual lower-biceps symptom; no elbow, wrist or shoulder pain</x:v>
      </x:c>
      <x:c r="J305" s="170" t="str">
        <x:v>Low final</x:v>
      </x:c>
      <x:c r="K305" s="170" t="str">
        <x:v>Good</x:v>
      </x:c>
      <x:c r="L305" s="170" t="str">
        <x:v>Unplanned third set; progressed from 9 to 10 reps without failure</x:v>
      </x:c>
      <x:c r="M305" s="170" t="str">
        <x:v>Working</x:v>
      </x:c>
      <x:c r="N305" s="170" t="n">
        <x:v>1</x:v>
      </x:c>
    </x:row>
    <x:row r="306">
      <x:c r="A306" s="220" t="n">
        <x:v>46253</x:v>
      </x:c>
      <x:c r="B306" s="170" t="str">
        <x:v>Biceps</x:v>
      </x:c>
      <x:c r="C306" s="170" t="str">
        <x:v>Reverse EZ-Bar Curl</x:v>
      </x:c>
      <x:c r="D306" s="170" t="n">
        <x:v>1</x:v>
      </x:c>
      <x:c r="E306" s="170" t="n">
        <x:v>7.5</x:v>
      </x:c>
      <x:c r="F306" s="170" t="str">
        <x:v>kg plates each side; bar excluded</x:v>
      </x:c>
      <x:c r="G306" s="170" t="n">
        <x:v>13</x:v>
      </x:c>
      <x:c r="H306" s="170" t="str">
        <x:v>Clean; no assistance or body swing</x:v>
      </x:c>
      <x:c r="I306" s="170" t="str">
        <x:v>Usual overall biceps sensation; no unusual lower-biceps symptom; no elbow, wrist or shoulder pain</x:v>
      </x:c>
      <x:c r="J306" s="170" t="str">
        <x:v>Low final</x:v>
      </x:c>
      <x:c r="K306" s="170" t="str">
        <x:v>Good</x:v>
      </x:c>
      <x:c r="L306" s="170" t="str">
        <x:v>Rep target met but one RIR harder than planned</x:v>
      </x:c>
      <x:c r="M306" s="170" t="str">
        <x:v>Working</x:v>
      </x:c>
      <x:c r="N306" s="170" t="n">
        <x:v>1</x:v>
      </x:c>
    </x:row>
    <x:row r="307">
      <x:c r="A307" s="220" t="n">
        <x:v>46253</x:v>
      </x:c>
      <x:c r="B307" s="170" t="str">
        <x:v>Biceps</x:v>
      </x:c>
      <x:c r="C307" s="170" t="str">
        <x:v>Reverse EZ-Bar Curl</x:v>
      </x:c>
      <x:c r="D307" s="170" t="n">
        <x:v>2</x:v>
      </x:c>
      <x:c r="E307" s="170" t="n">
        <x:v>10</x:v>
      </x:c>
      <x:c r="F307" s="170" t="str">
        <x:v>kg plates each side; bar excluded</x:v>
      </x:c>
      <x:c r="G307" s="170" t="n">
        <x:v>11</x:v>
      </x:c>
      <x:c r="H307" s="170" t="str">
        <x:v>Clean; no assistance or body swing</x:v>
      </x:c>
      <x:c r="I307" s="170" t="str">
        <x:v>Usual overall biceps sensation; no unusual lower-biceps symptom; no elbow, wrist or shoulder pain</x:v>
      </x:c>
      <x:c r="J307" s="170" t="str">
        <x:v>Low final</x:v>
      </x:c>
      <x:c r="K307" s="170" t="str">
        <x:v>Good</x:v>
      </x:c>
      <x:c r="L307" s="170" t="str">
        <x:v>Only two sets used to preserve the 18-set cap</x:v>
      </x:c>
      <x:c r="M307" s="170" t="str">
        <x:v>Working</x:v>
      </x:c>
      <x:c r="N307" s="170" t="n">
        <x:v>1</x:v>
      </x:c>
    </x:row>
    <x:row r="308">
      <x:c r="A308" s="220" t="n">
        <x:v>46254</x:v>
      </x:c>
      <x:c r="B308" s="170" t="str">
        <x:v>Legs</x:v>
      </x:c>
      <x:c r="C308" s="170" t="str">
        <x:v>Dumbbell Romanian Deadlift</x:v>
      </x:c>
      <x:c r="D308" s="170" t="n">
        <x:v>1</x:v>
      </x:c>
      <x:c r="E308" s="170" t="n">
        <x:v>12.5</x:v>
      </x:c>
      <x:c r="F308" s="170" t="str">
        <x:v>kg each dumbbell</x:v>
      </x:c>
      <x:c r="G308" s="170" t="n">
        <x:v>12</x:v>
      </x:c>
      <x:c r="H308" s="170" t="str">
        <x:v>Hamstrings felt, but lower-back involvement dominant; technique baseline only</x:v>
      </x:c>
      <x:c r="I308" s="170" t="str">
        <x:v>Post: normal lower-back pump; little hip pain (side, location, trigger and 0-10 severity To verify); no knee pain reported</x:v>
      </x:c>
      <x:c r="J308" s="170" t="str">
        <x:v>Low final</x:v>
      </x:c>
      <x:c r="K308" s="170" t="str">
        <x:v>Good</x:v>
      </x:c>
      <x:c r="L308" s="170"/>
      <x:c r="M308" s="170" t="str">
        <x:v>Working</x:v>
      </x:c>
      <x:c r="N308" s="170" t="n">
        <x:v>2</x:v>
      </x:c>
    </x:row>
    <x:row r="309">
      <x:c r="A309" s="220" t="n">
        <x:v>46254</x:v>
      </x:c>
      <x:c r="B309" s="170" t="str">
        <x:v>Legs</x:v>
      </x:c>
      <x:c r="C309" s="170" t="str">
        <x:v>Dumbbell Romanian Deadlift</x:v>
      </x:c>
      <x:c r="D309" s="170" t="n">
        <x:v>2</x:v>
      </x:c>
      <x:c r="E309" s="170" t="n">
        <x:v>15</x:v>
      </x:c>
      <x:c r="F309" s="170" t="str">
        <x:v>kg each dumbbell</x:v>
      </x:c>
      <x:c r="G309" s="170" t="n">
        <x:v>12</x:v>
      </x:c>
      <x:c r="H309" s="170" t="str">
        <x:v>Hamstrings felt, but lower-back involvement dominant; technique baseline only</x:v>
      </x:c>
      <x:c r="I309" s="170" t="str">
        <x:v>Post: normal lower-back pump; little hip pain (side, location, trigger and 0-10 severity To verify); no knee pain reported</x:v>
      </x:c>
      <x:c r="J309" s="170" t="str">
        <x:v>Low final</x:v>
      </x:c>
      <x:c r="K309" s="170" t="str">
        <x:v>Good</x:v>
      </x:c>
      <x:c r="L309" s="170"/>
      <x:c r="M309" s="170" t="str">
        <x:v>Working</x:v>
      </x:c>
      <x:c r="N309" s="170" t="n">
        <x:v>2</x:v>
      </x:c>
    </x:row>
    <x:row r="310">
      <x:c r="A310" s="220" t="n">
        <x:v>46254</x:v>
      </x:c>
      <x:c r="B310" s="170" t="str">
        <x:v>Legs</x:v>
      </x:c>
      <x:c r="C310" s="170" t="str">
        <x:v>Dumbbell Romanian Deadlift</x:v>
      </x:c>
      <x:c r="D310" s="170" t="n">
        <x:v>3</x:v>
      </x:c>
      <x:c r="E310" s="170" t="n">
        <x:v>15</x:v>
      </x:c>
      <x:c r="F310" s="170" t="str">
        <x:v>kg each dumbbell</x:v>
      </x:c>
      <x:c r="G310" s="170" t="n">
        <x:v>12</x:v>
      </x:c>
      <x:c r="H310" s="170" t="str">
        <x:v>Hamstrings felt, but lower-back involvement dominant; technique baseline only</x:v>
      </x:c>
      <x:c r="I310" s="170" t="str">
        <x:v>Post: normal lower-back pump; little hip pain (side, location, trigger and 0-10 severity To verify); no knee pain reported</x:v>
      </x:c>
      <x:c r="J310" s="170" t="str">
        <x:v>Low final</x:v>
      </x:c>
      <x:c r="K310" s="170" t="str">
        <x:v>Good</x:v>
      </x:c>
      <x:c r="L310" s="170" t="str">
        <x:v>Do not add load; reset hinge technique next Legs session</x:v>
      </x:c>
      <x:c r="M310" s="170" t="str">
        <x:v>Working</x:v>
      </x:c>
      <x:c r="N310" s="170" t="n">
        <x:v>2</x:v>
      </x:c>
    </x:row>
    <x:row r="311">
      <x:c r="A311" s="220" t="n">
        <x:v>46254</x:v>
      </x:c>
      <x:c r="B311" s="170" t="str">
        <x:v>Legs</x:v>
      </x:c>
      <x:c r="C311" s="170" t="str">
        <x:v>Hack Squat</x:v>
      </x:c>
      <x:c r="D311" s="170" t="n">
        <x:v>1</x:v>
      </x:c>
      <x:c r="E311" s="170" t="n">
        <x:v>35</x:v>
      </x:c>
      <x:c r="F311" s="170" t="str">
        <x:v>kg plates each side</x:v>
      </x:c>
      <x:c r="G311" s="170" t="n">
        <x:v>15</x:v>
      </x:c>
      <x:c r="H311" s="170" t="str">
        <x:v>Controlled; no assistance reported</x:v>
      </x:c>
      <x:c r="I311" s="170" t="str">
        <x:v>Post: normal lower-back pump; little hip pain (side, location, trigger and 0-10 severity To verify); no knee pain reported</x:v>
      </x:c>
      <x:c r="J311" s="170" t="str">
        <x:v>Low final</x:v>
      </x:c>
      <x:c r="K311" s="170" t="str">
        <x:v>Good</x:v>
      </x:c>
      <x:c r="L311" s="170"/>
      <x:c r="M311" s="170" t="str">
        <x:v>Working</x:v>
      </x:c>
      <x:c r="N311" s="170" t="n">
        <x:v>2</x:v>
      </x:c>
    </x:row>
    <x:row r="312">
      <x:c r="A312" s="220" t="n">
        <x:v>46254</x:v>
      </x:c>
      <x:c r="B312" s="170" t="str">
        <x:v>Legs</x:v>
      </x:c>
      <x:c r="C312" s="170" t="str">
        <x:v>Hack Squat</x:v>
      </x:c>
      <x:c r="D312" s="170" t="n">
        <x:v>2</x:v>
      </x:c>
      <x:c r="E312" s="170" t="n">
        <x:v>45</x:v>
      </x:c>
      <x:c r="F312" s="170" t="str">
        <x:v>kg plates each side</x:v>
      </x:c>
      <x:c r="G312" s="170" t="n">
        <x:v>12</x:v>
      </x:c>
      <x:c r="H312" s="170" t="str">
        <x:v>Controlled; no assistance reported</x:v>
      </x:c>
      <x:c r="I312" s="170" t="str">
        <x:v>Post: normal lower-back pump; little hip pain (side, location, trigger and 0-10 severity To verify); no knee pain reported</x:v>
      </x:c>
      <x:c r="J312" s="170" t="str">
        <x:v>Low final</x:v>
      </x:c>
      <x:c r="K312" s="170" t="str">
        <x:v>Good</x:v>
      </x:c>
      <x:c r="L312" s="170"/>
      <x:c r="M312" s="170" t="str">
        <x:v>Working</x:v>
      </x:c>
      <x:c r="N312" s="170" t="n">
        <x:v>2</x:v>
      </x:c>
    </x:row>
    <x:row r="313">
      <x:c r="A313" s="220" t="n">
        <x:v>46254</x:v>
      </x:c>
      <x:c r="B313" s="170" t="str">
        <x:v>Legs</x:v>
      </x:c>
      <x:c r="C313" s="170" t="str">
        <x:v>Hack Squat</x:v>
      </x:c>
      <x:c r="D313" s="170" t="n">
        <x:v>3</x:v>
      </x:c>
      <x:c r="E313" s="170" t="n">
        <x:v>55</x:v>
      </x:c>
      <x:c r="F313" s="170" t="str">
        <x:v>kg plates each side</x:v>
      </x:c>
      <x:c r="G313" s="170" t="n">
        <x:v>10</x:v>
      </x:c>
      <x:c r="H313" s="170" t="str">
        <x:v>Controlled; no assistance reported</x:v>
      </x:c>
      <x:c r="I313" s="170" t="str">
        <x:v>Post: normal lower-back pump; little hip pain (side, location, trigger and 0-10 severity To verify); no knee pain reported</x:v>
      </x:c>
      <x:c r="J313" s="170" t="str">
        <x:v>Low final</x:v>
      </x:c>
      <x:c r="K313" s="170" t="str">
        <x:v>Good</x:v>
      </x:c>
      <x:c r="L313" s="170"/>
      <x:c r="M313" s="170" t="str">
        <x:v>Working</x:v>
      </x:c>
      <x:c r="N313" s="170" t="n">
        <x:v>2</x:v>
      </x:c>
    </x:row>
    <x:row r="314">
      <x:c r="A314" s="220" t="n">
        <x:v>46254</x:v>
      </x:c>
      <x:c r="B314" s="170" t="str">
        <x:v>Legs</x:v>
      </x:c>
      <x:c r="C314" s="170" t="str">
        <x:v>Hack Squat</x:v>
      </x:c>
      <x:c r="D314" s="170" t="n">
        <x:v>4</x:v>
      </x:c>
      <x:c r="E314" s="170" t="n">
        <x:v>65</x:v>
      </x:c>
      <x:c r="F314" s="170" t="str">
        <x:v>kg plates each side</x:v>
      </x:c>
      <x:c r="G314" s="170" t="n">
        <x:v>10</x:v>
      </x:c>
      <x:c r="H314" s="170" t="str">
        <x:v>Controlled; no assistance reported</x:v>
      </x:c>
      <x:c r="I314" s="170" t="str">
        <x:v>Post: normal lower-back pump; little hip pain (side, location, trigger and 0-10 severity To verify); no knee pain reported</x:v>
      </x:c>
      <x:c r="J314" s="170" t="str">
        <x:v>Low final</x:v>
      </x:c>
      <x:c r="K314" s="170" t="str">
        <x:v>Good</x:v>
      </x:c>
      <x:c r="L314" s="170" t="str">
        <x:v>Progressed load while retaining RIR 2; do not add load next time</x:v>
      </x:c>
      <x:c r="M314" s="170" t="str">
        <x:v>Working</x:v>
      </x:c>
      <x:c r="N314" s="170" t="n">
        <x:v>2</x:v>
      </x:c>
    </x:row>
    <x:row r="315">
      <x:c r="A315" s="220" t="n">
        <x:v>46254</x:v>
      </x:c>
      <x:c r="B315" s="170" t="str">
        <x:v>Legs</x:v>
      </x:c>
      <x:c r="C315" s="170" t="str">
        <x:v>Leg Press</x:v>
      </x:c>
      <x:c r="D315" s="170" t="n">
        <x:v>1</x:v>
      </x:c>
      <x:c r="E315" s="170" t="n">
        <x:v>100</x:v>
      </x:c>
      <x:c r="F315" s="170" t="str">
        <x:v>kg total load</x:v>
      </x:c>
      <x:c r="G315" s="170" t="n">
        <x:v>14</x:v>
      </x:c>
      <x:c r="H315" s="170" t="str">
        <x:v>Clean; no assistance reported</x:v>
      </x:c>
      <x:c r="I315" s="170" t="str">
        <x:v>Post: normal lower-back pump; little hip pain (side, location, trigger and 0-10 severity To verify); no knee pain reported</x:v>
      </x:c>
      <x:c r="J315" s="170" t="str">
        <x:v>Low final</x:v>
      </x:c>
      <x:c r="K315" s="170" t="str">
        <x:v>Good</x:v>
      </x:c>
      <x:c r="L315" s="170"/>
      <x:c r="M315" s="170" t="str">
        <x:v>Working</x:v>
      </x:c>
      <x:c r="N315" s="170" t="n">
        <x:v>2</x:v>
      </x:c>
    </x:row>
    <x:row r="316">
      <x:c r="A316" s="220" t="n">
        <x:v>46254</x:v>
      </x:c>
      <x:c r="B316" s="170" t="str">
        <x:v>Legs</x:v>
      </x:c>
      <x:c r="C316" s="170" t="str">
        <x:v>Leg Press</x:v>
      </x:c>
      <x:c r="D316" s="170" t="n">
        <x:v>2</x:v>
      </x:c>
      <x:c r="E316" s="170" t="n">
        <x:v>120</x:v>
      </x:c>
      <x:c r="F316" s="170" t="str">
        <x:v>kg total load</x:v>
      </x:c>
      <x:c r="G316" s="170" t="n">
        <x:v>11</x:v>
      </x:c>
      <x:c r="H316" s="170" t="str">
        <x:v>Clean; no assistance reported</x:v>
      </x:c>
      <x:c r="I316" s="170" t="str">
        <x:v>Post: normal lower-back pump; little hip pain (side, location, trigger and 0-10 severity To verify); no knee pain reported</x:v>
      </x:c>
      <x:c r="J316" s="170" t="str">
        <x:v>Low final</x:v>
      </x:c>
      <x:c r="K316" s="170" t="str">
        <x:v>Good</x:v>
      </x:c>
      <x:c r="L316" s="170"/>
      <x:c r="M316" s="170" t="str">
        <x:v>Working</x:v>
      </x:c>
      <x:c r="N316" s="170" t="n">
        <x:v>2</x:v>
      </x:c>
    </x:row>
    <x:row r="317">
      <x:c r="A317" s="220" t="n">
        <x:v>46254</x:v>
      </x:c>
      <x:c r="B317" s="170" t="str">
        <x:v>Legs</x:v>
      </x:c>
      <x:c r="C317" s="170" t="str">
        <x:v>Leg Press</x:v>
      </x:c>
      <x:c r="D317" s="170" t="n">
        <x:v>3</x:v>
      </x:c>
      <x:c r="E317" s="170" t="n">
        <x:v>130</x:v>
      </x:c>
      <x:c r="F317" s="170" t="str">
        <x:v>kg total load</x:v>
      </x:c>
      <x:c r="G317" s="170" t="n">
        <x:v>9</x:v>
      </x:c>
      <x:c r="H317" s="170" t="str">
        <x:v>Clean; no assistance reported</x:v>
      </x:c>
      <x:c r="I317" s="170" t="str">
        <x:v>Post: normal lower-back pump; little hip pain (side, location, trigger and 0-10 severity To verify); no knee pain reported</x:v>
      </x:c>
      <x:c r="J317" s="170" t="str">
        <x:v>Low final</x:v>
      </x:c>
      <x:c r="K317" s="170" t="str">
        <x:v>Good</x:v>
      </x:c>
      <x:c r="L317" s="170"/>
      <x:c r="M317" s="170" t="str">
        <x:v>Working</x:v>
      </x:c>
      <x:c r="N317" s="170" t="n">
        <x:v>1</x:v>
      </x:c>
    </x:row>
    <x:row r="318">
      <x:c r="A318" s="220" t="n">
        <x:v>46254</x:v>
      </x:c>
      <x:c r="B318" s="170" t="str">
        <x:v>Legs</x:v>
      </x:c>
      <x:c r="C318" s="170" t="str">
        <x:v>Leg Press</x:v>
      </x:c>
      <x:c r="D318" s="170" t="n">
        <x:v>4</x:v>
      </x:c>
      <x:c r="E318" s="170" t="n">
        <x:v>150</x:v>
      </x:c>
      <x:c r="F318" s="170" t="str">
        <x:v>kg total load</x:v>
      </x:c>
      <x:c r="G318" s="170" t="n">
        <x:v>7</x:v>
      </x:c>
      <x:c r="H318" s="170" t="str">
        <x:v>7 total; approximately 2-3 hand-assisted; approximately 4-5 clean To verify; do not treat as 7 clean</x:v>
      </x:c>
      <x:c r="I318" s="170" t="str">
        <x:v>Post: normal lower-back pump; little hip pain (side, location, trigger and 0-10 severity To verify); no knee pain reported</x:v>
      </x:c>
      <x:c r="J318" s="170" t="str">
        <x:v>Low final</x:v>
      </x:c>
      <x:c r="K318" s="170" t="str">
        <x:v>Good</x:v>
      </x:c>
      <x:c r="L318" s="170" t="str">
        <x:v>Omit 150 kg until 130 kg is clean at target reserve and hip pain is absent</x:v>
      </x:c>
      <x:c r="M318" s="170" t="str">
        <x:v>Assisted</x:v>
      </x:c>
      <x:c r="N318" s="170" t="n">
        <x:v>1</x:v>
      </x:c>
    </x:row>
    <x:row r="319">
      <x:c r="A319" s="220" t="n">
        <x:v>46254</x:v>
      </x:c>
      <x:c r="B319" s="170" t="str">
        <x:v>Legs</x:v>
      </x:c>
      <x:c r="C319" s="170" t="str">
        <x:v>Leg Curl</x:v>
      </x:c>
      <x:c r="D319" s="170" t="n">
        <x:v>1</x:v>
      </x:c>
      <x:c r="E319" s="170" t="n">
        <x:v>30</x:v>
      </x:c>
      <x:c r="F319" s="170" t="str">
        <x:v>kg total stack</x:v>
      </x:c>
      <x:c r="G319" s="170" t="n">
        <x:v>14</x:v>
      </x:c>
      <x:c r="H319" s="170" t="str">
        <x:v>Controlled; full range To verify</x:v>
      </x:c>
      <x:c r="I319" s="170" t="str">
        <x:v>Post: normal lower-back pump; little hip pain (side, location, trigger and 0-10 severity To verify); no knee pain reported</x:v>
      </x:c>
      <x:c r="J319" s="170" t="str">
        <x:v>Low final</x:v>
      </x:c>
      <x:c r="K319" s="170" t="str">
        <x:v>Good</x:v>
      </x:c>
      <x:c r="L319" s="170"/>
      <x:c r="M319" s="170" t="str">
        <x:v>Working</x:v>
      </x:c>
      <x:c r="N319" s="170" t="n">
        <x:v>2</x:v>
      </x:c>
    </x:row>
    <x:row r="320">
      <x:c r="A320" s="220" t="n">
        <x:v>46254</x:v>
      </x:c>
      <x:c r="B320" s="170" t="str">
        <x:v>Legs</x:v>
      </x:c>
      <x:c r="C320" s="170" t="str">
        <x:v>Leg Curl</x:v>
      </x:c>
      <x:c r="D320" s="170" t="n">
        <x:v>2</x:v>
      </x:c>
      <x:c r="E320" s="170" t="n">
        <x:v>35</x:v>
      </x:c>
      <x:c r="F320" s="170" t="str">
        <x:v>kg total stack</x:v>
      </x:c>
      <x:c r="G320" s="170" t="n">
        <x:v>9</x:v>
      </x:c>
      <x:c r="H320" s="170" t="str">
        <x:v>Reached failure reserve; full range To verify</x:v>
      </x:c>
      <x:c r="I320" s="170" t="str">
        <x:v>Post: normal lower-back pump; little hip pain (side, location, trigger and 0-10 severity To verify); no knee pain reported</x:v>
      </x:c>
      <x:c r="J320" s="170" t="str">
        <x:v>Low final</x:v>
      </x:c>
      <x:c r="K320" s="170" t="str">
        <x:v>Good</x:v>
      </x:c>
      <x:c r="L320" s="170" t="str">
        <x:v>Reduce load/effort next time; no RIR 0 target</x:v>
      </x:c>
      <x:c r="M320" s="170" t="str">
        <x:v>Working</x:v>
      </x:c>
      <x:c r="N320" s="170" t="n">
        <x:v>0</x:v>
      </x:c>
    </x:row>
    <x:row r="321">
      <x:c r="A321" s="220" t="n">
        <x:v>46254</x:v>
      </x:c>
      <x:c r="B321" s="170" t="str">
        <x:v>Legs</x:v>
      </x:c>
      <x:c r="C321" s="170" t="str">
        <x:v>Leg Extension</x:v>
      </x:c>
      <x:c r="D321" s="170" t="n">
        <x:v>1</x:v>
      </x:c>
      <x:c r="E321" s="170" t="n">
        <x:v>40</x:v>
      </x:c>
      <x:c r="F321" s="170" t="str">
        <x:v>kg total stack</x:v>
      </x:c>
      <x:c r="G321" s="170" t="n">
        <x:v>14</x:v>
      </x:c>
      <x:c r="H321" s="170" t="str">
        <x:v>Controlled; no assistance reported</x:v>
      </x:c>
      <x:c r="I321" s="170" t="str">
        <x:v>Post: normal lower-back pump; little hip pain (side, location, trigger and 0-10 severity To verify); no knee pain reported</x:v>
      </x:c>
      <x:c r="J321" s="170" t="str">
        <x:v>Low final</x:v>
      </x:c>
      <x:c r="K321" s="170" t="str">
        <x:v>Good</x:v>
      </x:c>
      <x:c r="L321" s="170"/>
      <x:c r="M321" s="170" t="str">
        <x:v>Working</x:v>
      </x:c>
      <x:c r="N321" s="170" t="n">
        <x:v>2</x:v>
      </x:c>
    </x:row>
    <x:row r="322">
      <x:c r="A322" s="220" t="n">
        <x:v>46254</x:v>
      </x:c>
      <x:c r="B322" s="170" t="str">
        <x:v>Legs</x:v>
      </x:c>
      <x:c r="C322" s="170" t="str">
        <x:v>Leg Extension</x:v>
      </x:c>
      <x:c r="D322" s="170" t="n">
        <x:v>2</x:v>
      </x:c>
      <x:c r="E322" s="170" t="n">
        <x:v>45</x:v>
      </x:c>
      <x:c r="F322" s="170" t="str">
        <x:v>kg total stack</x:v>
      </x:c>
      <x:c r="G322" s="170" t="n">
        <x:v>13</x:v>
      </x:c>
      <x:c r="H322" s="170" t="str">
        <x:v>Controlled; no assistance reported</x:v>
      </x:c>
      <x:c r="I322" s="170" t="str">
        <x:v>Post: normal lower-back pump; little hip pain (side, location, trigger and 0-10 severity To verify); no knee pain reported</x:v>
      </x:c>
      <x:c r="J322" s="170" t="str">
        <x:v>Low final</x:v>
      </x:c>
      <x:c r="K322" s="170" t="str">
        <x:v>Good</x:v>
      </x:c>
      <x:c r="L322" s="170"/>
      <x:c r="M322" s="170" t="str">
        <x:v>Working</x:v>
      </x:c>
      <x:c r="N322" s="170" t="n">
        <x:v>1</x:v>
      </x:c>
    </x:row>
    <x:row r="323">
      <x:c r="A323" s="220" t="n">
        <x:v>46254</x:v>
      </x:c>
      <x:c r="B323" s="170" t="str">
        <x:v>Legs</x:v>
      </x:c>
      <x:c r="C323" s="170" t="str">
        <x:v>Leg Extension</x:v>
      </x:c>
      <x:c r="D323" s="170" t="n">
        <x:v>3</x:v>
      </x:c>
      <x:c r="E323" s="170" t="n">
        <x:v>50</x:v>
      </x:c>
      <x:c r="F323" s="170" t="str">
        <x:v>kg total stack</x:v>
      </x:c>
      <x:c r="G323" s="170" t="n">
        <x:v>11</x:v>
      </x:c>
      <x:c r="H323" s="170" t="str">
        <x:v>Controlled; no assistance reported</x:v>
      </x:c>
      <x:c r="I323" s="170" t="str">
        <x:v>Post: normal lower-back pump; little hip pain (side, location, trigger and 0-10 severity To verify); no knee pain reported</x:v>
      </x:c>
      <x:c r="J323" s="170" t="str">
        <x:v>Low final</x:v>
      </x:c>
      <x:c r="K323" s="170" t="str">
        <x:v>Good</x:v>
      </x:c>
      <x:c r="L323" s="170" t="str">
        <x:v>Progressed reps; improve reserve before load</x:v>
      </x:c>
      <x:c r="M323" s="170" t="str">
        <x:v>Working</x:v>
      </x:c>
      <x:c r="N323" s="170" t="n">
        <x:v>1</x:v>
      </x:c>
    </x:row>
    <x:row r="324">
      <x:c r="A324" s="220" t="n">
        <x:v>46254</x:v>
      </x:c>
      <x:c r="B324" s="170" t="str">
        <x:v>Legs</x:v>
      </x:c>
      <x:c r="C324" s="170" t="str">
        <x:v>Standing Calf Raise</x:v>
      </x:c>
      <x:c r="D324" s="170" t="n">
        <x:v>1</x:v>
      </x:c>
      <x:c r="E324" s="170" t="n">
        <x:v>10</x:v>
      </x:c>
      <x:c r="F324" s="170" t="str">
        <x:v>kg plates each side; guided bar excluded</x:v>
      </x:c>
      <x:c r="G324" s="170" t="n">
        <x:v>20</x:v>
      </x:c>
      <x:c r="H324" s="170" t="str">
        <x:v>Controlled; full stretch and top pause To verify</x:v>
      </x:c>
      <x:c r="I324" s="170" t="str">
        <x:v>Post: normal lower-back pump; little hip pain (side, location, trigger and 0-10 severity To verify); no knee pain reported</x:v>
      </x:c>
      <x:c r="J324" s="170" t="str">
        <x:v>Low final</x:v>
      </x:c>
      <x:c r="K324" s="170" t="str">
        <x:v>Good</x:v>
      </x:c>
      <x:c r="L324" s="170"/>
      <x:c r="M324" s="170" t="str">
        <x:v>Working</x:v>
      </x:c>
      <x:c r="N324" s="170" t="n">
        <x:v>2</x:v>
      </x:c>
    </x:row>
    <x:row r="325">
      <x:c r="A325" s="220" t="n">
        <x:v>46254</x:v>
      </x:c>
      <x:c r="B325" s="170" t="str">
        <x:v>Legs</x:v>
      </x:c>
      <x:c r="C325" s="170" t="str">
        <x:v>Standing Calf Raise</x:v>
      </x:c>
      <x:c r="D325" s="170" t="n">
        <x:v>2</x:v>
      </x:c>
      <x:c r="E325" s="170" t="n">
        <x:v>20</x:v>
      </x:c>
      <x:c r="F325" s="170" t="str">
        <x:v>kg plates each side; guided bar excluded</x:v>
      </x:c>
      <x:c r="G325" s="170" t="n">
        <x:v>16</x:v>
      </x:c>
      <x:c r="H325" s="170" t="str">
        <x:v>Controlled; full stretch and top pause To verify</x:v>
      </x:c>
      <x:c r="I325" s="170" t="str">
        <x:v>Post: normal lower-back pump; little hip pain (side, location, trigger and 0-10 severity To verify); no knee pain reported</x:v>
      </x:c>
      <x:c r="J325" s="170" t="str">
        <x:v>Low final</x:v>
      </x:c>
      <x:c r="K325" s="170" t="str">
        <x:v>Good</x:v>
      </x:c>
      <x:c r="L325" s="170" t="str">
        <x:v>Add one clean rep before load</x:v>
      </x:c>
      <x:c r="M325" s="170" t="str">
        <x:v>Working</x:v>
      </x:c>
      <x:c r="N325" s="170" t="n">
        <x:v>2</x:v>
      </x:c>
    </x:row>
    <x:row r="326">
      <x:c r="A326" s="220" t="n">
        <x:v>46255</x:v>
      </x:c>
      <x:c r="B326" s="170" t="str">
        <x:v>Shoulders</x:v>
      </x:c>
      <x:c r="C326" s="170" t="str">
        <x:v>Dumbbell Shoulder Press</x:v>
      </x:c>
      <x:c r="D326" s="170" t="n">
        <x:v>1</x:v>
      </x:c>
      <x:c r="E326" s="170" t="n">
        <x:v>15</x:v>
      </x:c>
      <x:c r="F326" s="170" t="str">
        <x:v>kg each dumbbell</x:v>
      </x:c>
      <x:c r="G326" s="170" t="n">
        <x:v>16</x:v>
      </x:c>
      <x:c r="H326" s="170" t="str">
        <x:v>Preparation set; clean; no assistance</x:v>
      </x:c>
      <x:c r="I326" s="170" t="str">
        <x:v>No shoulder, neck, elbow, wrist, hip or lower-back pain reported during or after session</x:v>
      </x:c>
      <x:c r="J326" s="170" t="str">
        <x:v>Medium final</x:v>
      </x:c>
      <x:c r="K326" s="170" t="str">
        <x:v>Good</x:v>
      </x:c>
      <x:c r="L326" s="170" t="str">
        <x:v>Excluded from working-set total</x:v>
      </x:c>
      <x:c r="M326" s="170" t="str">
        <x:v>Warm-up</x:v>
      </x:c>
      <x:c r="N326" s="170" t="n">
        <x:v>3</x:v>
      </x:c>
    </x:row>
    <x:row r="327">
      <x:c r="A327" s="220" t="n">
        <x:v>46255</x:v>
      </x:c>
      <x:c r="B327" s="170" t="str">
        <x:v>Shoulders</x:v>
      </x:c>
      <x:c r="C327" s="170" t="str">
        <x:v>Dumbbell Shoulder Press</x:v>
      </x:c>
      <x:c r="D327" s="170" t="n">
        <x:v>2</x:v>
      </x:c>
      <x:c r="E327" s="170" t="n">
        <x:v>17.5</x:v>
      </x:c>
      <x:c r="F327" s="170" t="str">
        <x:v>kg each dumbbell</x:v>
      </x:c>
      <x:c r="G327" s="170" t="n">
        <x:v>13</x:v>
      </x:c>
      <x:c r="H327" s="170" t="str">
        <x:v>Clean; no assistance</x:v>
      </x:c>
      <x:c r="I327" s="170" t="str">
        <x:v>No shoulder, neck, elbow, wrist, hip or lower-back pain reported during or after session</x:v>
      </x:c>
      <x:c r="J327" s="170" t="str">
        <x:v>Medium final</x:v>
      </x:c>
      <x:c r="K327" s="170" t="str">
        <x:v>Good</x:v>
      </x:c>
      <x:c r="L327" s="170" t="str">
        <x:v>Added one rep from prior session</x:v>
      </x:c>
      <x:c r="M327" s="170" t="str">
        <x:v>Working</x:v>
      </x:c>
      <x:c r="N327" s="170" t="n">
        <x:v>2</x:v>
      </x:c>
    </x:row>
    <x:row r="328">
      <x:c r="A328" s="220" t="n">
        <x:v>46255</x:v>
      </x:c>
      <x:c r="B328" s="170" t="str">
        <x:v>Shoulders</x:v>
      </x:c>
      <x:c r="C328" s="170" t="str">
        <x:v>Dumbbell Shoulder Press</x:v>
      </x:c>
      <x:c r="D328" s="170" t="n">
        <x:v>3</x:v>
      </x:c>
      <x:c r="E328" s="170" t="n">
        <x:v>20</x:v>
      </x:c>
      <x:c r="F328" s="170" t="str">
        <x:v>kg each dumbbell</x:v>
      </x:c>
      <x:c r="G328" s="170" t="n">
        <x:v>10</x:v>
      </x:c>
      <x:c r="H328" s="170" t="str">
        <x:v>Clean; no assistance</x:v>
      </x:c>
      <x:c r="I328" s="170" t="str">
        <x:v>No shoulder, neck, elbow, wrist, hip or lower-back pain reported during or after session</x:v>
      </x:c>
      <x:c r="J328" s="170" t="str">
        <x:v>Medium final</x:v>
      </x:c>
      <x:c r="K328" s="170" t="str">
        <x:v>Good</x:v>
      </x:c>
      <x:c r="L328" s="170" t="str">
        <x:v>Matched reps with improved reserve</x:v>
      </x:c>
      <x:c r="M328" s="170" t="str">
        <x:v>Working</x:v>
      </x:c>
      <x:c r="N328" s="170" t="n">
        <x:v>2</x:v>
      </x:c>
    </x:row>
    <x:row r="329">
      <x:c r="A329" s="220" t="n">
        <x:v>46255</x:v>
      </x:c>
      <x:c r="B329" s="170" t="str">
        <x:v>Shoulders</x:v>
      </x:c>
      <x:c r="C329" s="170" t="str">
        <x:v>Dumbbell Shoulder Press</x:v>
      </x:c>
      <x:c r="D329" s="170" t="n">
        <x:v>4</x:v>
      </x:c>
      <x:c r="E329" s="170" t="n">
        <x:v>22.5</x:v>
      </x:c>
      <x:c r="F329" s="170" t="str">
        <x:v>kg each dumbbell</x:v>
      </x:c>
      <x:c r="G329" s="170" t="n">
        <x:v>8</x:v>
      </x:c>
      <x:c r="H329" s="170" t="str">
        <x:v>Clean; no assistance</x:v>
      </x:c>
      <x:c r="I329" s="170" t="str">
        <x:v>No shoulder, neck, elbow, wrist, hip or lower-back pain reported during or after session</x:v>
      </x:c>
      <x:c r="J329" s="170" t="str">
        <x:v>Medium final</x:v>
      </x:c>
      <x:c r="K329" s="170" t="str">
        <x:v>Good</x:v>
      </x:c>
      <x:c r="L329" s="170" t="str">
        <x:v>Matched top set; improve reserve before load</x:v>
      </x:c>
      <x:c r="M329" s="170" t="str">
        <x:v>Working</x:v>
      </x:c>
      <x:c r="N329" s="170" t="n">
        <x:v>1</x:v>
      </x:c>
    </x:row>
    <x:row r="330">
      <x:c r="A330" s="220" t="n">
        <x:v>46255</x:v>
      </x:c>
      <x:c r="B330" s="170" t="str">
        <x:v>Shoulders</x:v>
      </x:c>
      <x:c r="C330" s="170" t="str">
        <x:v>Plate-Loaded Lateral Raise Machine</x:v>
      </x:c>
      <x:c r="D330" s="170" t="n">
        <x:v>1</x:v>
      </x:c>
      <x:c r="E330" s="170" t="n">
        <x:v>2.5</x:v>
      </x:c>
      <x:c r="F330" s="170" t="str">
        <x:v>kg plates each side; unloaded resistance excluded</x:v>
      </x:c>
      <x:c r="G330" s="170" t="n">
        <x:v>16</x:v>
      </x:c>
      <x:c r="H330" s="170" t="str">
        <x:v>Controlled; no shrug reported</x:v>
      </x:c>
      <x:c r="I330" s="170" t="str">
        <x:v>No shoulder, neck, elbow, wrist, hip or lower-back pain reported during or after session</x:v>
      </x:c>
      <x:c r="J330" s="170" t="str">
        <x:v>Medium final</x:v>
      </x:c>
      <x:c r="K330" s="170" t="str">
        <x:v>Good</x:v>
      </x:c>
      <x:c r="L330" s="170"/>
      <x:c r="M330" s="170" t="str">
        <x:v>Working</x:v>
      </x:c>
      <x:c r="N330" s="170" t="n">
        <x:v>2</x:v>
      </x:c>
    </x:row>
    <x:row r="331">
      <x:c r="A331" s="220" t="n">
        <x:v>46255</x:v>
      </x:c>
      <x:c r="B331" s="170" t="str">
        <x:v>Shoulders</x:v>
      </x:c>
      <x:c r="C331" s="170" t="str">
        <x:v>Plate-Loaded Lateral Raise Machine</x:v>
      </x:c>
      <x:c r="D331" s="170" t="n">
        <x:v>2</x:v>
      </x:c>
      <x:c r="E331" s="170" t="n">
        <x:v>2.5</x:v>
      </x:c>
      <x:c r="F331" s="170" t="str">
        <x:v>kg plates each side; unloaded resistance excluded</x:v>
      </x:c>
      <x:c r="G331" s="170" t="n">
        <x:v>17</x:v>
      </x:c>
      <x:c r="H331" s="170" t="str">
        <x:v>Controlled; no shrug reported</x:v>
      </x:c>
      <x:c r="I331" s="170" t="str">
        <x:v>No shoulder, neck, elbow, wrist, hip or lower-back pain reported during or after session</x:v>
      </x:c>
      <x:c r="J331" s="170" t="str">
        <x:v>Medium final</x:v>
      </x:c>
      <x:c r="K331" s="170" t="str">
        <x:v>Good</x:v>
      </x:c>
      <x:c r="L331" s="170"/>
      <x:c r="M331" s="170" t="str">
        <x:v>Working</x:v>
      </x:c>
      <x:c r="N331" s="170" t="n">
        <x:v>2</x:v>
      </x:c>
    </x:row>
    <x:row r="332">
      <x:c r="A332" s="220" t="n">
        <x:v>46255</x:v>
      </x:c>
      <x:c r="B332" s="170" t="str">
        <x:v>Shoulders</x:v>
      </x:c>
      <x:c r="C332" s="170" t="str">
        <x:v>Plate-Loaded Lateral Raise Machine</x:v>
      </x:c>
      <x:c r="D332" s="170" t="n">
        <x:v>3</x:v>
      </x:c>
      <x:c r="E332" s="170" t="n">
        <x:v>5</x:v>
      </x:c>
      <x:c r="F332" s="170" t="str">
        <x:v>kg plates each side; unloaded resistance excluded</x:v>
      </x:c>
      <x:c r="G332" s="170" t="n">
        <x:v>12</x:v>
      </x:c>
      <x:c r="H332" s="170" t="str">
        <x:v>Controlled; no shrug reported</x:v>
      </x:c>
      <x:c r="I332" s="170" t="str">
        <x:v>No shoulder, neck, elbow, wrist, hip or lower-back pain reported during or after session</x:v>
      </x:c>
      <x:c r="J332" s="170" t="str">
        <x:v>Medium final</x:v>
      </x:c>
      <x:c r="K332" s="170" t="str">
        <x:v>Good</x:v>
      </x:c>
      <x:c r="L332" s="170" t="str">
        <x:v>New 5 kg/side baseline; machine resistance To verify</x:v>
      </x:c>
      <x:c r="M332" s="170" t="str">
        <x:v>Working</x:v>
      </x:c>
      <x:c r="N332" s="170" t="n">
        <x:v>2</x:v>
      </x:c>
    </x:row>
    <x:row r="333">
      <x:c r="A333" s="220" t="n">
        <x:v>46255</x:v>
      </x:c>
      <x:c r="B333" s="170" t="str">
        <x:v>Shoulders</x:v>
      </x:c>
      <x:c r="C333" s="170" t="str">
        <x:v>Experimental Rear-Delt Lateral-Raise Machine</x:v>
      </x:c>
      <x:c r="D333" s="170" t="n">
        <x:v>1</x:v>
      </x:c>
      <x:c r="E333" s="170" t="n">
        <x:v>5</x:v>
      </x:c>
      <x:c r="F333" s="170" t="str">
        <x:v>kg plates each side</x:v>
      </x:c>
      <x:c r="G333" s="170" t="n">
        <x:v>8</x:v>
      </x:c>
      <x:c r="H333" s="170" t="str">
        <x:v>Experimental rear-delt movement performed facing away from machine; exact setup/path To verify</x:v>
      </x:c>
      <x:c r="I333" s="170" t="str">
        <x:v>No shoulder, neck, elbow, wrist, hip or lower-back pain reported during or after session</x:v>
      </x:c>
      <x:c r="J333" s="170" t="str">
        <x:v>Medium final</x:v>
      </x:c>
      <x:c r="K333" s="170" t="str">
        <x:v>Good</x:v>
      </x:c>
      <x:c r="L333" s="170" t="str">
        <x:v>Counts toward fatigue; exclude from next active sequence</x:v>
      </x:c>
      <x:c r="M333" s="170" t="str">
        <x:v>Working</x:v>
      </x:c>
      <x:c r="N333" s="170" t="n">
        <x:v>1</x:v>
      </x:c>
    </x:row>
    <x:row r="334">
      <x:c r="A334" s="220" t="n">
        <x:v>46255</x:v>
      </x:c>
      <x:c r="B334" s="170" t="str">
        <x:v>Shoulders</x:v>
      </x:c>
      <x:c r="C334" s="170" t="str">
        <x:v>Experimental Rear-Delt Lateral-Raise Machine</x:v>
      </x:c>
      <x:c r="D334" s="170" t="n">
        <x:v>2</x:v>
      </x:c>
      <x:c r="E334" s="170" t="n">
        <x:v>5</x:v>
      </x:c>
      <x:c r="F334" s="170" t="str">
        <x:v>kg plates each side</x:v>
      </x:c>
      <x:c r="G334" s="170" t="n">
        <x:v>8</x:v>
      </x:c>
      <x:c r="H334" s="170" t="str">
        <x:v>Experimental rear-delt movement performed facing away from machine; exact setup/path To verify</x:v>
      </x:c>
      <x:c r="I334" s="170" t="str">
        <x:v>No shoulder, neck, elbow, wrist, hip or lower-back pain reported during or after session</x:v>
      </x:c>
      <x:c r="J334" s="170" t="str">
        <x:v>Medium final</x:v>
      </x:c>
      <x:c r="K334" s="170" t="str">
        <x:v>Good</x:v>
      </x:c>
      <x:c r="L334" s="170" t="str">
        <x:v>Counts toward fatigue; exclude from next active sequence</x:v>
      </x:c>
      <x:c r="M334" s="170" t="str">
        <x:v>Working</x:v>
      </x:c>
      <x:c r="N334" s="170" t="n">
        <x:v>1</x:v>
      </x:c>
    </x:row>
    <x:row r="335">
      <x:c r="A335" s="220" t="n">
        <x:v>46255</x:v>
      </x:c>
      <x:c r="B335" s="170" t="str">
        <x:v>Shoulders</x:v>
      </x:c>
      <x:c r="C335" s="170" t="str">
        <x:v>Reverse Pec Deck</x:v>
      </x:c>
      <x:c r="D335" s="170" t="n">
        <x:v>1</x:v>
      </x:c>
      <x:c r="E335" s="170" t="n">
        <x:v>25</x:v>
      </x:c>
      <x:c r="F335" s="170" t="str">
        <x:v>kg total machine load</x:v>
      </x:c>
      <x:c r="G335" s="170" t="n">
        <x:v>16</x:v>
      </x:c>
      <x:c r="H335" s="170" t="str">
        <x:v>Controlled; no assistance</x:v>
      </x:c>
      <x:c r="I335" s="170" t="str">
        <x:v>No shoulder, neck, elbow, wrist, hip or lower-back pain reported during or after session</x:v>
      </x:c>
      <x:c r="J335" s="170" t="str">
        <x:v>Medium final</x:v>
      </x:c>
      <x:c r="K335" s="170" t="str">
        <x:v>Good</x:v>
      </x:c>
      <x:c r="L335" s="170" t="str">
        <x:v>Reserve improved</x:v>
      </x:c>
      <x:c r="M335" s="170" t="str">
        <x:v>Working</x:v>
      </x:c>
      <x:c r="N335" s="170" t="n">
        <x:v>3</x:v>
      </x:c>
    </x:row>
    <x:row r="336">
      <x:c r="A336" s="220" t="n">
        <x:v>46255</x:v>
      </x:c>
      <x:c r="B336" s="170" t="str">
        <x:v>Shoulders</x:v>
      </x:c>
      <x:c r="C336" s="170" t="str">
        <x:v>Reverse Pec Deck</x:v>
      </x:c>
      <x:c r="D336" s="170" t="n">
        <x:v>2</x:v>
      </x:c>
      <x:c r="E336" s="170" t="n">
        <x:v>30</x:v>
      </x:c>
      <x:c r="F336" s="170" t="str">
        <x:v>kg total machine load</x:v>
      </x:c>
      <x:c r="G336" s="170" t="n">
        <x:v>13</x:v>
      </x:c>
      <x:c r="H336" s="170" t="str">
        <x:v>Controlled; no assistance</x:v>
      </x:c>
      <x:c r="I336" s="170" t="str">
        <x:v>No shoulder, neck, elbow, wrist, hip or lower-back pain reported during or after session</x:v>
      </x:c>
      <x:c r="J336" s="170" t="str">
        <x:v>Medium final</x:v>
      </x:c>
      <x:c r="K336" s="170" t="str">
        <x:v>Good</x:v>
      </x:c>
      <x:c r="L336" s="170" t="str">
        <x:v>Added one rep with better reserve</x:v>
      </x:c>
      <x:c r="M336" s="170" t="str">
        <x:v>Working</x:v>
      </x:c>
      <x:c r="N336" s="170" t="n">
        <x:v>3</x:v>
      </x:c>
    </x:row>
    <x:row r="337">
      <x:c r="A337" s="220" t="n">
        <x:v>46255</x:v>
      </x:c>
      <x:c r="B337" s="170" t="str">
        <x:v>Shoulders</x:v>
      </x:c>
      <x:c r="C337" s="170" t="str">
        <x:v>Reverse Pec Deck</x:v>
      </x:c>
      <x:c r="D337" s="170" t="n">
        <x:v>3</x:v>
      </x:c>
      <x:c r="E337" s="170" t="n">
        <x:v>35</x:v>
      </x:c>
      <x:c r="F337" s="170" t="str">
        <x:v>kg total machine load</x:v>
      </x:c>
      <x:c r="G337" s="170" t="n">
        <x:v>10</x:v>
      </x:c>
      <x:c r="H337" s="170" t="str">
        <x:v>Controlled; no assistance</x:v>
      </x:c>
      <x:c r="I337" s="170" t="str">
        <x:v>No shoulder, neck, elbow, wrist, hip or lower-back pain reported during or after session</x:v>
      </x:c>
      <x:c r="J337" s="170" t="str">
        <x:v>Medium final</x:v>
      </x:c>
      <x:c r="K337" s="170" t="str">
        <x:v>Good</x:v>
      </x:c>
      <x:c r="L337" s="170" t="str">
        <x:v>Matched reps with substantially better reserve</x:v>
      </x:c>
      <x:c r="M337" s="170" t="str">
        <x:v>Working</x:v>
      </x:c>
      <x:c r="N337" s="170" t="n">
        <x:v>3</x:v>
      </x:c>
    </x:row>
    <x:row r="338">
      <x:c r="A338" s="220" t="n">
        <x:v>46255</x:v>
      </x:c>
      <x:c r="B338" s="170" t="str">
        <x:v>Shoulders</x:v>
      </x:c>
      <x:c r="C338" s="170" t="str">
        <x:v>Cable Upright Row</x:v>
      </x:c>
      <x:c r="D338" s="170" t="n">
        <x:v>1</x:v>
      </x:c>
      <x:c r="E338" s="170" t="n">
        <x:v>40</x:v>
      </x:c>
      <x:c r="F338" s="170" t="str">
        <x:v>kg total stack</x:v>
      </x:c>
      <x:c r="G338" s="170" t="n">
        <x:v>16</x:v>
      </x:c>
      <x:c r="H338" s="170" t="str">
        <x:v>Controlled; comfortable height</x:v>
      </x:c>
      <x:c r="I338" s="170" t="str">
        <x:v>No shoulder, neck, elbow, wrist, hip or lower-back pain reported during or after session</x:v>
      </x:c>
      <x:c r="J338" s="170" t="str">
        <x:v>Medium final</x:v>
      </x:c>
      <x:c r="K338" s="170" t="str">
        <x:v>Good</x:v>
      </x:c>
      <x:c r="L338" s="170" t="str">
        <x:v>Clear rep/reserve progression</x:v>
      </x:c>
      <x:c r="M338" s="170" t="str">
        <x:v>Working</x:v>
      </x:c>
      <x:c r="N338" s="170" t="n">
        <x:v>3</x:v>
      </x:c>
    </x:row>
    <x:row r="339">
      <x:c r="A339" s="220" t="n">
        <x:v>46255</x:v>
      </x:c>
      <x:c r="B339" s="170" t="str">
        <x:v>Shoulders</x:v>
      </x:c>
      <x:c r="C339" s="170" t="str">
        <x:v>Cable Upright Row</x:v>
      </x:c>
      <x:c r="D339" s="170" t="n">
        <x:v>2</x:v>
      </x:c>
      <x:c r="E339" s="170" t="n">
        <x:v>50</x:v>
      </x:c>
      <x:c r="F339" s="170" t="str">
        <x:v>kg total stack</x:v>
      </x:c>
      <x:c r="G339" s="170" t="n">
        <x:v>12</x:v>
      </x:c>
      <x:c r="H339" s="170" t="str">
        <x:v>Controlled; comfortable height</x:v>
      </x:c>
      <x:c r="I339" s="170" t="str">
        <x:v>No shoulder, neck, elbow, wrist, hip or lower-back pain reported during or after session</x:v>
      </x:c>
      <x:c r="J339" s="170" t="str">
        <x:v>Medium final</x:v>
      </x:c>
      <x:c r="K339" s="170" t="str">
        <x:v>Good</x:v>
      </x:c>
      <x:c r="L339" s="170"/>
      <x:c r="M339" s="170" t="str">
        <x:v>Working</x:v>
      </x:c>
      <x:c r="N339" s="170" t="n">
        <x:v>2</x:v>
      </x:c>
    </x:row>
    <x:row r="340">
      <x:c r="A340" s="220" t="n">
        <x:v>46255</x:v>
      </x:c>
      <x:c r="B340" s="170" t="str">
        <x:v>Shoulders</x:v>
      </x:c>
      <x:c r="C340" s="170" t="str">
        <x:v>Cable Upright Row</x:v>
      </x:c>
      <x:c r="D340" s="170" t="n">
        <x:v>3</x:v>
      </x:c>
      <x:c r="E340" s="170" t="n">
        <x:v>50</x:v>
      </x:c>
      <x:c r="F340" s="170" t="str">
        <x:v>kg total stack</x:v>
      </x:c>
      <x:c r="G340" s="170" t="n">
        <x:v>10</x:v>
      </x:c>
      <x:c r="H340" s="170" t="str">
        <x:v>Controlled; comfortable height</x:v>
      </x:c>
      <x:c r="I340" s="170" t="str">
        <x:v>No shoulder, neck, elbow, wrist, hip or lower-back pain reported during or after session</x:v>
      </x:c>
      <x:c r="J340" s="170" t="str">
        <x:v>Medium final</x:v>
      </x:c>
      <x:c r="K340" s="170" t="str">
        <x:v>Good</x:v>
      </x:c>
      <x:c r="L340" s="170" t="str">
        <x:v>Keep load and improve final-set reserve</x:v>
      </x:c>
      <x:c r="M340" s="170" t="str">
        <x:v>Working</x:v>
      </x:c>
      <x:c r="N340" s="170" t="n">
        <x:v>1</x:v>
      </x:c>
    </x:row>
    <x:row r="341">
      <x:c r="A341" s="220" t="n">
        <x:v>46255</x:v>
      </x:c>
      <x:c r="B341" s="170" t="str">
        <x:v>Shoulders</x:v>
      </x:c>
      <x:c r="C341" s="170" t="str">
        <x:v>Single-Arm Cable Lateral Raise</x:v>
      </x:c>
      <x:c r="D341" s="170" t="n">
        <x:v>1</x:v>
      </x:c>
      <x:c r="E341" s="170" t="n">
        <x:v>5</x:v>
      </x:c>
      <x:c r="F341" s="170" t="str">
        <x:v>kg stack; reps each arm</x:v>
      </x:c>
      <x:c r="G341" s="170" t="n">
        <x:v>20</x:v>
      </x:c>
      <x:c r="H341" s="170" t="str">
        <x:v>Controlled; both arms completed</x:v>
      </x:c>
      <x:c r="I341" s="170" t="str">
        <x:v>No shoulder, neck, elbow, wrist, hip or lower-back pain reported during or after session</x:v>
      </x:c>
      <x:c r="J341" s="170" t="str">
        <x:v>Medium final</x:v>
      </x:c>
      <x:c r="K341" s="170" t="str">
        <x:v>Good</x:v>
      </x:c>
      <x:c r="L341" s="170" t="str">
        <x:v>Progressed from 15 reps</x:v>
      </x:c>
      <x:c r="M341" s="170" t="str">
        <x:v>Working</x:v>
      </x:c>
      <x:c r="N341" s="170" t="n">
        <x:v>3</x:v>
      </x:c>
    </x:row>
    <x:row r="342">
      <x:c r="A342" s="220" t="n">
        <x:v>46255</x:v>
      </x:c>
      <x:c r="B342" s="170" t="str">
        <x:v>Shoulders</x:v>
      </x:c>
      <x:c r="C342" s="170" t="str">
        <x:v>Single-Arm Cable Lateral Raise</x:v>
      </x:c>
      <x:c r="D342" s="170" t="n">
        <x:v>2</x:v>
      </x:c>
      <x:c r="E342" s="170" t="n">
        <x:v>10</x:v>
      </x:c>
      <x:c r="F342" s="170" t="str">
        <x:v>kg stack; reps each arm</x:v>
      </x:c>
      <x:c r="G342" s="170" t="n">
        <x:v>15</x:v>
      </x:c>
      <x:c r="H342" s="170" t="str">
        <x:v>Controlled; both arms completed</x:v>
      </x:c>
      <x:c r="I342" s="170" t="str">
        <x:v>No shoulder, neck, elbow, wrist, hip or lower-back pain reported during or after session</x:v>
      </x:c>
      <x:c r="J342" s="170" t="str">
        <x:v>Medium final</x:v>
      </x:c>
      <x:c r="K342" s="170" t="str">
        <x:v>Good</x:v>
      </x:c>
      <x:c r="L342" s="170" t="str">
        <x:v>Progressed from 12 reps</x:v>
      </x:c>
      <x:c r="M342" s="170" t="str">
        <x:v>Working</x:v>
      </x:c>
      <x:c r="N342" s="170" t="n">
        <x:v>2</x:v>
      </x:c>
    </x:row>
    <x:row r="343">
      <x:c r="A343" s="220" t="n">
        <x:v>46255</x:v>
      </x:c>
      <x:c r="B343" s="170" t="str">
        <x:v>Shoulders</x:v>
      </x:c>
      <x:c r="C343" s="170" t="str">
        <x:v>Single-Arm Cable Lateral Raise</x:v>
      </x:c>
      <x:c r="D343" s="170" t="n">
        <x:v>3</x:v>
      </x:c>
      <x:c r="E343" s="170" t="n">
        <x:v>10</x:v>
      </x:c>
      <x:c r="F343" s="170" t="str">
        <x:v>kg stack; reps each arm</x:v>
      </x:c>
      <x:c r="G343" s="170" t="n">
        <x:v>15</x:v>
      </x:c>
      <x:c r="H343" s="170" t="str">
        <x:v>Controlled; both arms completed</x:v>
      </x:c>
      <x:c r="I343" s="170" t="str">
        <x:v>No shoulder, neck, elbow, wrist, hip or lower-back pain reported during or after session</x:v>
      </x:c>
      <x:c r="J343" s="170" t="str">
        <x:v>Medium final</x:v>
      </x:c>
      <x:c r="K343" s="170" t="str">
        <x:v>Good</x:v>
      </x:c>
      <x:c r="L343" s="170" t="str">
        <x:v>Progressed from 12 reps</x:v>
      </x:c>
      <x:c r="M343" s="170" t="str">
        <x:v>Working</x:v>
      </x:c>
      <x:c r="N343" s="170" t="n">
        <x:v>2</x:v>
      </x:c>
    </x:row>
    <x:row r="344">
      <x:c r="A344" s="220" t="n">
        <x:v>46255</x:v>
      </x:c>
      <x:c r="B344" s="170" t="str">
        <x:v>Shoulders</x:v>
      </x:c>
      <x:c r="C344" s="170" t="str">
        <x:v>Cable Shrug</x:v>
      </x:c>
      <x:c r="D344" s="170" t="n">
        <x:v>1</x:v>
      </x:c>
      <x:c r="E344" s="170" t="n">
        <x:v>60</x:v>
      </x:c>
      <x:c r="F344" s="170" t="str">
        <x:v>kg total stack; straight bar on low pulley</x:v>
      </x:c>
      <x:c r="G344" s="170" t="n">
        <x:v>17</x:v>
      </x:c>
      <x:c r="H344" s="170" t="str">
        <x:v>Elbows tended to bend but were consciously controlled; low trap sensation</x:v>
      </x:c>
      <x:c r="I344" s="170" t="str">
        <x:v>No shoulder, neck, elbow, wrist, hip or lower-back pain reported during or after session</x:v>
      </x:c>
      <x:c r="J344" s="170" t="str">
        <x:v>Medium final</x:v>
      </x:c>
      <x:c r="K344" s="170" t="str">
        <x:v>Good</x:v>
      </x:c>
      <x:c r="L344" s="170" t="str">
        <x:v>Experimental substitution; poor stimulus; effective cable resistance To verify</x:v>
      </x:c>
      <x:c r="M344" s="170" t="str">
        <x:v>Working</x:v>
      </x:c>
      <x:c r="N344" s="170" t="n">
        <x:v>2</x:v>
      </x:c>
    </x:row>
    <x:row r="345">
      <x:c r="A345" s="220" t="n">
        <x:v>46255</x:v>
      </x:c>
      <x:c r="B345" s="170" t="str">
        <x:v>Shoulders</x:v>
      </x:c>
      <x:c r="C345" s="170" t="str">
        <x:v>Cable Shrug</x:v>
      </x:c>
      <x:c r="D345" s="170" t="n">
        <x:v>2</x:v>
      </x:c>
      <x:c r="E345" s="170" t="n">
        <x:v>70</x:v>
      </x:c>
      <x:c r="F345" s="170" t="str">
        <x:v>kg total stack; straight bar on low pulley</x:v>
      </x:c>
      <x:c r="G345" s="170" t="n">
        <x:v>15</x:v>
      </x:c>
      <x:c r="H345" s="170" t="str">
        <x:v>Elbows tended to bend but were consciously controlled; low trap sensation</x:v>
      </x:c>
      <x:c r="I345" s="170" t="str">
        <x:v>No shoulder, neck, elbow, wrist, hip or lower-back pain reported during or after session</x:v>
      </x:c>
      <x:c r="J345" s="170" t="str">
        <x:v>Medium final</x:v>
      </x:c>
      <x:c r="K345" s="170" t="str">
        <x:v>Good</x:v>
      </x:c>
      <x:c r="L345" s="170" t="str">
        <x:v>Experimental substitution; poor stimulus; effective cable resistance To verify</x:v>
      </x:c>
      <x:c r="M345" s="170" t="str">
        <x:v>Working</x:v>
      </x:c>
      <x:c r="N345" s="170" t="n">
        <x:v>2</x:v>
      </x:c>
    </x:row>
    <x:row r="346">
      <x:c r="A346" s="220" t="n">
        <x:v>46255</x:v>
      </x:c>
      <x:c r="B346" s="170" t="str">
        <x:v>Shoulders</x:v>
      </x:c>
      <x:c r="C346" s="170" t="str">
        <x:v>Cable Shrug</x:v>
      </x:c>
      <x:c r="D346" s="170" t="n">
        <x:v>3</x:v>
      </x:c>
      <x:c r="E346" s="170" t="n">
        <x:v>80</x:v>
      </x:c>
      <x:c r="F346" s="170" t="str">
        <x:v>kg total stack; straight bar on low pulley</x:v>
      </x:c>
      <x:c r="G346" s="170" t="n">
        <x:v>13</x:v>
      </x:c>
      <x:c r="H346" s="170" t="str">
        <x:v>Elbows tended to bend but were consciously controlled; low trap sensation</x:v>
      </x:c>
      <x:c r="I346" s="170" t="str">
        <x:v>No shoulder, neck, elbow, wrist, hip or lower-back pain reported during or after session</x:v>
      </x:c>
      <x:c r="J346" s="170" t="str">
        <x:v>Medium final</x:v>
      </x:c>
      <x:c r="K346" s="170" t="str">
        <x:v>Good</x:v>
      </x:c>
      <x:c r="L346" s="170" t="str">
        <x:v>Replace with dumbbell or dedicated shrug next time</x:v>
      </x:c>
      <x:c r="M346" s="170" t="str">
        <x:v>Working</x:v>
      </x:c>
      <x:c r="N346" s="170" t="n">
        <x:v>2</x:v>
      </x:c>
    </x:row>
    <x:row r="347">
      <x:c r="A347" s="220" t="n">
        <x:v>46255</x:v>
      </x:c>
      <x:c r="B347" s="170" t="str">
        <x:v>Shoulders</x:v>
      </x:c>
      <x:c r="C347" s="170" t="str">
        <x:v>Front Plank</x:v>
      </x:c>
      <x:c r="D347" s="170" t="n">
        <x:v>1</x:v>
      </x:c>
      <x:c r="E347" s="170" t="str">
        <x:v>Body weight</x:v>
      </x:c>
      <x:c r="F347" s="170" t="str">
        <x:v>60 seconds</x:v>
      </x:c>
      <x:c r="G347" s="170" t="n">
        <x:v>60</x:v>
      </x:c>
      <x:c r="H347" s="170" t="str">
        <x:v>No form breakdown or lower-back pain reported; detailed alignment To verify</x:v>
      </x:c>
      <x:c r="I347" s="170" t="str">
        <x:v>No shoulder, neck, elbow, wrist, hip or lower-back pain reported during or after session</x:v>
      </x:c>
      <x:c r="J347" s="170" t="str">
        <x:v>Medium final</x:v>
      </x:c>
      <x:c r="K347" s="170" t="str">
        <x:v>Good</x:v>
      </x:c>
      <x:c r="L347" s="170" t="str">
        <x:v>Core finisher</x:v>
      </x:c>
      <x:c r="M347" s="170" t="str">
        <x:v>Core finisher</x:v>
      </x:c>
      <x:c r="N347" s="170" t="str">
        <x:v>To verify</x:v>
      </x:c>
    </x:row>
    <x:row r="348">
      <x:c r="A348" s="220" t="n">
        <x:v>46255</x:v>
      </x:c>
      <x:c r="B348" s="170" t="str">
        <x:v>Shoulders</x:v>
      </x:c>
      <x:c r="C348" s="170" t="str">
        <x:v>Front Plank</x:v>
      </x:c>
      <x:c r="D348" s="170" t="n">
        <x:v>2</x:v>
      </x:c>
      <x:c r="E348" s="170" t="str">
        <x:v>Body weight</x:v>
      </x:c>
      <x:c r="F348" s="170" t="str">
        <x:v>60 seconds</x:v>
      </x:c>
      <x:c r="G348" s="170" t="n">
        <x:v>60</x:v>
      </x:c>
      <x:c r="H348" s="170" t="str">
        <x:v>No form breakdown or lower-back pain reported; detailed alignment To verify</x:v>
      </x:c>
      <x:c r="I348" s="170" t="str">
        <x:v>No shoulder, neck, elbow, wrist, hip or lower-back pain reported during or after session</x:v>
      </x:c>
      <x:c r="J348" s="170" t="str">
        <x:v>Medium final</x:v>
      </x:c>
      <x:c r="K348" s="170" t="str">
        <x:v>Good</x:v>
      </x:c>
      <x:c r="L348" s="170" t="str">
        <x:v>Core finisher</x:v>
      </x:c>
      <x:c r="M348" s="170" t="str">
        <x:v>Core finisher</x:v>
      </x:c>
      <x:c r="N348" s="170" t="str">
        <x:v>To verify</x:v>
      </x:c>
    </x:row>
    <x:row r="349">
      <x:c r="A349" s="220" t="n">
        <x:v>46255</x:v>
      </x:c>
      <x:c r="B349" s="170" t="str">
        <x:v>Shoulders</x:v>
      </x:c>
      <x:c r="C349" s="170" t="str">
        <x:v>Front Plank</x:v>
      </x:c>
      <x:c r="D349" s="170" t="n">
        <x:v>3</x:v>
      </x:c>
      <x:c r="E349" s="170" t="str">
        <x:v>Body weight</x:v>
      </x:c>
      <x:c r="F349" s="170" t="str">
        <x:v>60 seconds</x:v>
      </x:c>
      <x:c r="G349" s="170" t="n">
        <x:v>60</x:v>
      </x:c>
      <x:c r="H349" s="170" t="str">
        <x:v>No form breakdown or lower-back pain reported; detailed alignment To verify</x:v>
      </x:c>
      <x:c r="I349" s="170" t="str">
        <x:v>No shoulder, neck, elbow, wrist, hip or lower-back pain reported during or after session</x:v>
      </x:c>
      <x:c r="J349" s="170" t="str">
        <x:v>Medium final</x:v>
      </x:c>
      <x:c r="K349" s="170" t="str">
        <x:v>Good</x:v>
      </x:c>
      <x:c r="L349" s="170" t="str">
        <x:v>Core finisher</x:v>
      </x:c>
      <x:c r="M349" s="170" t="str">
        <x:v>Core finisher</x:v>
      </x:c>
      <x:c r="N349" s="170" t="str">
        <x:v>To verify</x:v>
      </x:c>
    </x:row>
    <x:row r="350">
      <x:c r="A350" s="220" t="n">
        <x:v>46255</x:v>
      </x:c>
      <x:c r="B350" s="170" t="str">
        <x:v>Shoulders</x:v>
      </x:c>
      <x:c r="C350" s="170" t="str">
        <x:v>Treadmill Incline Walk</x:v>
      </x:c>
      <x:c r="D350" s="170" t="n">
        <x:v>1</x:v>
      </x:c>
      <x:c r="E350" s="170" t="n">
        <x:v>12</x:v>
      </x:c>
      <x:c r="F350" s="170" t="str">
        <x:v>% incline; displayed speed 4 (unit To verify)</x:v>
      </x:c>
      <x:c r="G350" s="170" t="n">
        <x:v>10</x:v>
      </x:c>
      <x:c r="H350" s="170" t="str">
        <x:v>Completed 10 minutes; no hip or other pain</x:v>
      </x:c>
      <x:c r="I350" s="170" t="str">
        <x:v>No shoulder, neck, elbow, wrist, hip or lower-back pain reported during or after session</x:v>
      </x:c>
      <x:c r="J350" s="170" t="str">
        <x:v>Medium final</x:v>
      </x:c>
      <x:c r="K350" s="170" t="str">
        <x:v>Good</x:v>
      </x:c>
      <x:c r="L350" s="170" t="str">
        <x:v>Steep conditioning finisher after Legs; use easier incline for recovery cardio</x:v>
      </x:c>
      <x:c r="M350" s="170" t="str">
        <x:v>Cardio finisher</x:v>
      </x:c>
      <x:c r="N350" s="170" t="str">
        <x:v>Not applicable</x:v>
      </x:c>
    </x:row>
    <x:row r="351">
      <x:c r="A351" s="220" t="n">
        <x:v>46256</x:v>
      </x:c>
      <x:c r="B351" s="170" t="str">
        <x:v>Triceps</x:v>
      </x:c>
      <x:c r="C351" s="170" t="str">
        <x:v>Straight-Bar Pushdown</x:v>
      </x:c>
      <x:c r="D351" s="170" t="n">
        <x:v>1</x:v>
      </x:c>
      <x:c r="E351" s="170" t="n">
        <x:v>45</x:v>
      </x:c>
      <x:c r="F351" s="170" t="str">
        <x:v>kg total stack</x:v>
      </x:c>
      <x:c r="G351" s="170" t="n">
        <x:v>16</x:v>
      </x:c>
      <x:c r="H351" s="170" t="str">
        <x:v>Preparation set; controlled; no assistance</x:v>
      </x:c>
      <x:c r="I351" s="170" t="str">
        <x:v>Very little shoulder soreness, unchanged from pre-workout; no shoulder, elbow or wrist pain</x:v>
      </x:c>
      <x:c r="J351" s="170" t="str">
        <x:v>Low final</x:v>
      </x:c>
      <x:c r="K351" s="170" t="str">
        <x:v>Good</x:v>
      </x:c>
      <x:c r="L351" s="170" t="str">
        <x:v>Excluded from working-set total</x:v>
      </x:c>
      <x:c r="M351" s="170" t="str">
        <x:v>Warm-up</x:v>
      </x:c>
      <x:c r="N351" s="170" t="n">
        <x:v>3</x:v>
      </x:c>
    </x:row>
    <x:row r="352">
      <x:c r="A352" s="220" t="n">
        <x:v>46256</x:v>
      </x:c>
      <x:c r="B352" s="170" t="str">
        <x:v>Triceps</x:v>
      </x:c>
      <x:c r="C352" s="170" t="str">
        <x:v>Straight-Bar Pushdown</x:v>
      </x:c>
      <x:c r="D352" s="170" t="n">
        <x:v>2</x:v>
      </x:c>
      <x:c r="E352" s="170" t="n">
        <x:v>50</x:v>
      </x:c>
      <x:c r="F352" s="170" t="str">
        <x:v>kg total stack</x:v>
      </x:c>
      <x:c r="G352" s="170" t="n">
        <x:v>13</x:v>
      </x:c>
      <x:c r="H352" s="170" t="str">
        <x:v>Elbows fixed; no forced reps</x:v>
      </x:c>
      <x:c r="I352" s="170" t="str">
        <x:v>Very little shoulder soreness, unchanged from pre-workout; no shoulder, elbow or wrist pain</x:v>
      </x:c>
      <x:c r="J352" s="170" t="str">
        <x:v>Low final</x:v>
      </x:c>
      <x:c r="K352" s="170" t="str">
        <x:v>Good</x:v>
      </x:c>
      <x:c r="L352" s="170"/>
      <x:c r="M352" s="170" t="str">
        <x:v>Working</x:v>
      </x:c>
      <x:c r="N352" s="170" t="n">
        <x:v>2</x:v>
      </x:c>
    </x:row>
    <x:row r="353">
      <x:c r="A353" s="220" t="n">
        <x:v>46256</x:v>
      </x:c>
      <x:c r="B353" s="170" t="str">
        <x:v>Triceps</x:v>
      </x:c>
      <x:c r="C353" s="170" t="str">
        <x:v>Straight-Bar Pushdown</x:v>
      </x:c>
      <x:c r="D353" s="170" t="n">
        <x:v>3</x:v>
      </x:c>
      <x:c r="E353" s="170" t="n">
        <x:v>55</x:v>
      </x:c>
      <x:c r="F353" s="170" t="str">
        <x:v>kg total stack</x:v>
      </x:c>
      <x:c r="G353" s="170" t="n">
        <x:v>11</x:v>
      </x:c>
      <x:c r="H353" s="170" t="str">
        <x:v>Elbows fixed; no forced reps</x:v>
      </x:c>
      <x:c r="I353" s="170" t="str">
        <x:v>Very little shoulder soreness, unchanged from pre-workout; no shoulder, elbow or wrist pain</x:v>
      </x:c>
      <x:c r="J353" s="170" t="str">
        <x:v>Low final</x:v>
      </x:c>
      <x:c r="K353" s="170" t="str">
        <x:v>Good</x:v>
      </x:c>
      <x:c r="L353" s="170" t="str">
        <x:v>Added one rep from prior baseline</x:v>
      </x:c>
      <x:c r="M353" s="170" t="str">
        <x:v>Working</x:v>
      </x:c>
      <x:c r="N353" s="170" t="n">
        <x:v>2</x:v>
      </x:c>
    </x:row>
    <x:row r="354">
      <x:c r="A354" s="220" t="n">
        <x:v>46256</x:v>
      </x:c>
      <x:c r="B354" s="170" t="str">
        <x:v>Triceps</x:v>
      </x:c>
      <x:c r="C354" s="170" t="str">
        <x:v>Straight-Bar Pushdown</x:v>
      </x:c>
      <x:c r="D354" s="170" t="n">
        <x:v>4</x:v>
      </x:c>
      <x:c r="E354" s="170" t="n">
        <x:v>60</x:v>
      </x:c>
      <x:c r="F354" s="170" t="str">
        <x:v>kg total stack</x:v>
      </x:c>
      <x:c r="G354" s="170" t="n">
        <x:v>9</x:v>
      </x:c>
      <x:c r="H354" s="170" t="str">
        <x:v>Elbows fixed; no forced reps</x:v>
      </x:c>
      <x:c r="I354" s="170" t="str">
        <x:v>Very little shoulder soreness, unchanged from pre-workout; no shoulder, elbow or wrist pain</x:v>
      </x:c>
      <x:c r="J354" s="170" t="str">
        <x:v>Low final</x:v>
      </x:c>
      <x:c r="K354" s="170" t="str">
        <x:v>Good</x:v>
      </x:c>
      <x:c r="L354" s="170" t="str">
        <x:v>Reached rep target; improve reserve before load</x:v>
      </x:c>
      <x:c r="M354" s="170" t="str">
        <x:v>Working</x:v>
      </x:c>
      <x:c r="N354" s="170" t="n">
        <x:v>1</x:v>
      </x:c>
    </x:row>
    <x:row r="355">
      <x:c r="A355" s="220" t="n">
        <x:v>46256</x:v>
      </x:c>
      <x:c r="B355" s="170" t="str">
        <x:v>Triceps</x:v>
      </x:c>
      <x:c r="C355" s="170" t="str">
        <x:v>Rope Pushdown</x:v>
      </x:c>
      <x:c r="D355" s="170" t="n">
        <x:v>1</x:v>
      </x:c>
      <x:c r="E355" s="170" t="n">
        <x:v>30</x:v>
      </x:c>
      <x:c r="F355" s="170" t="str">
        <x:v>kg total stack</x:v>
      </x:c>
      <x:c r="G355" s="170" t="n">
        <x:v>15</x:v>
      </x:c>
      <x:c r="H355" s="170" t="str">
        <x:v>Controlled; rope spread; no forced reps</x:v>
      </x:c>
      <x:c r="I355" s="170" t="str">
        <x:v>Very little shoulder soreness, unchanged from pre-workout; no shoulder, elbow or wrist pain</x:v>
      </x:c>
      <x:c r="J355" s="170" t="str">
        <x:v>Low final</x:v>
      </x:c>
      <x:c r="K355" s="170" t="str">
        <x:v>Good</x:v>
      </x:c>
      <x:c r="L355" s="170"/>
      <x:c r="M355" s="170" t="str">
        <x:v>Working</x:v>
      </x:c>
      <x:c r="N355" s="170" t="n">
        <x:v>3</x:v>
      </x:c>
    </x:row>
    <x:row r="356">
      <x:c r="A356" s="220" t="n">
        <x:v>46256</x:v>
      </x:c>
      <x:c r="B356" s="170" t="str">
        <x:v>Triceps</x:v>
      </x:c>
      <x:c r="C356" s="170" t="str">
        <x:v>Rope Pushdown</x:v>
      </x:c>
      <x:c r="D356" s="170" t="n">
        <x:v>2</x:v>
      </x:c>
      <x:c r="E356" s="170" t="n">
        <x:v>35</x:v>
      </x:c>
      <x:c r="F356" s="170" t="str">
        <x:v>kg total stack</x:v>
      </x:c>
      <x:c r="G356" s="170" t="n">
        <x:v>12</x:v>
      </x:c>
      <x:c r="H356" s="170" t="str">
        <x:v>Controlled; rope spread; no forced reps</x:v>
      </x:c>
      <x:c r="I356" s="170" t="str">
        <x:v>Very little shoulder soreness, unchanged from pre-workout; no shoulder, elbow or wrist pain</x:v>
      </x:c>
      <x:c r="J356" s="170" t="str">
        <x:v>Low final</x:v>
      </x:c>
      <x:c r="K356" s="170" t="str">
        <x:v>Good</x:v>
      </x:c>
      <x:c r="L356" s="170"/>
      <x:c r="M356" s="170" t="str">
        <x:v>Working</x:v>
      </x:c>
      <x:c r="N356" s="170" t="n">
        <x:v>3</x:v>
      </x:c>
    </x:row>
    <x:row r="357">
      <x:c r="A357" s="220" t="n">
        <x:v>46256</x:v>
      </x:c>
      <x:c r="B357" s="170" t="str">
        <x:v>Triceps</x:v>
      </x:c>
      <x:c r="C357" s="170" t="str">
        <x:v>Rope Pushdown</x:v>
      </x:c>
      <x:c r="D357" s="170" t="n">
        <x:v>3</x:v>
      </x:c>
      <x:c r="E357" s="170" t="n">
        <x:v>40</x:v>
      </x:c>
      <x:c r="F357" s="170" t="str">
        <x:v>kg total stack</x:v>
      </x:c>
      <x:c r="G357" s="170" t="n">
        <x:v>10</x:v>
      </x:c>
      <x:c r="H357" s="170" t="str">
        <x:v>Controlled; rope spread; no forced reps</x:v>
      </x:c>
      <x:c r="I357" s="170" t="str">
        <x:v>Very little shoulder soreness, unchanged from pre-workout; no shoulder, elbow or wrist pain</x:v>
      </x:c>
      <x:c r="J357" s="170" t="str">
        <x:v>Low final</x:v>
      </x:c>
      <x:c r="K357" s="170" t="str">
        <x:v>Good</x:v>
      </x:c>
      <x:c r="L357" s="170"/>
      <x:c r="M357" s="170" t="str">
        <x:v>Working</x:v>
      </x:c>
      <x:c r="N357" s="170" t="n">
        <x:v>2</x:v>
      </x:c>
    </x:row>
    <x:row r="358">
      <x:c r="A358" s="220" t="n">
        <x:v>46256</x:v>
      </x:c>
      <x:c r="B358" s="170" t="str">
        <x:v>Triceps</x:v>
      </x:c>
      <x:c r="C358" s="170" t="str">
        <x:v>Rope Pushdown</x:v>
      </x:c>
      <x:c r="D358" s="170" t="n">
        <x:v>4</x:v>
      </x:c>
      <x:c r="E358" s="170" t="n">
        <x:v>40</x:v>
      </x:c>
      <x:c r="F358" s="170" t="str">
        <x:v>kg total stack</x:v>
      </x:c>
      <x:c r="G358" s="170" t="n">
        <x:v>11</x:v>
      </x:c>
      <x:c r="H358" s="170" t="str">
        <x:v>Controlled; rope spread; no forced reps</x:v>
      </x:c>
      <x:c r="I358" s="170" t="str">
        <x:v>Very little shoulder soreness, unchanged from pre-workout; no shoulder, elbow or wrist pain</x:v>
      </x:c>
      <x:c r="J358" s="170" t="str">
        <x:v>Low final</x:v>
      </x:c>
      <x:c r="K358" s="170" t="str">
        <x:v>Good</x:v>
      </x:c>
      <x:c r="L358" s="170" t="str">
        <x:v>Fourth working set exceeded plan; do not progress load</x:v>
      </x:c>
      <x:c r="M358" s="170" t="str">
        <x:v>Working</x:v>
      </x:c>
      <x:c r="N358" s="170" t="n">
        <x:v>1</x:v>
      </x:c>
    </x:row>
    <x:row r="359">
      <x:c r="A359" s="220" t="n">
        <x:v>46256</x:v>
      </x:c>
      <x:c r="B359" s="170" t="str">
        <x:v>Triceps</x:v>
      </x:c>
      <x:c r="C359" s="170" t="str">
        <x:v>Overhead Rope Extension</x:v>
      </x:c>
      <x:c r="D359" s="170" t="n">
        <x:v>1</x:v>
      </x:c>
      <x:c r="E359" s="170" t="n">
        <x:v>30</x:v>
      </x:c>
      <x:c r="F359" s="170" t="str">
        <x:v>kg total stack</x:v>
      </x:c>
      <x:c r="G359" s="170" t="n">
        <x:v>16</x:v>
      </x:c>
      <x:c r="H359" s="170" t="str">
        <x:v>Ribs down; elbows stable; shoulder soreness did not increase</x:v>
      </x:c>
      <x:c r="I359" s="170" t="str">
        <x:v>Very little shoulder soreness, unchanged from pre-workout; no shoulder, elbow or wrist pain</x:v>
      </x:c>
      <x:c r="J359" s="170" t="str">
        <x:v>Low final</x:v>
      </x:c>
      <x:c r="K359" s="170" t="str">
        <x:v>Good</x:v>
      </x:c>
      <x:c r="L359" s="170"/>
      <x:c r="M359" s="170" t="str">
        <x:v>Working</x:v>
      </x:c>
      <x:c r="N359" s="170" t="n">
        <x:v>3</x:v>
      </x:c>
    </x:row>
    <x:row r="360">
      <x:c r="A360" s="220" t="n">
        <x:v>46256</x:v>
      </x:c>
      <x:c r="B360" s="170" t="str">
        <x:v>Triceps</x:v>
      </x:c>
      <x:c r="C360" s="170" t="str">
        <x:v>Overhead Rope Extension</x:v>
      </x:c>
      <x:c r="D360" s="170" t="n">
        <x:v>2</x:v>
      </x:c>
      <x:c r="E360" s="170" t="n">
        <x:v>35</x:v>
      </x:c>
      <x:c r="F360" s="170" t="str">
        <x:v>kg total stack</x:v>
      </x:c>
      <x:c r="G360" s="170" t="n">
        <x:v>13</x:v>
      </x:c>
      <x:c r="H360" s="170" t="str">
        <x:v>Ribs down; elbows stable; shoulder soreness did not increase</x:v>
      </x:c>
      <x:c r="I360" s="170" t="str">
        <x:v>Very little shoulder soreness, unchanged from pre-workout; no shoulder, elbow or wrist pain</x:v>
      </x:c>
      <x:c r="J360" s="170" t="str">
        <x:v>Low final</x:v>
      </x:c>
      <x:c r="K360" s="170" t="str">
        <x:v>Good</x:v>
      </x:c>
      <x:c r="L360" s="170"/>
      <x:c r="M360" s="170" t="str">
        <x:v>Working</x:v>
      </x:c>
      <x:c r="N360" s="170" t="n">
        <x:v>2</x:v>
      </x:c>
    </x:row>
    <x:row r="361">
      <x:c r="A361" s="220" t="n">
        <x:v>46256</x:v>
      </x:c>
      <x:c r="B361" s="170" t="str">
        <x:v>Triceps</x:v>
      </x:c>
      <x:c r="C361" s="170" t="str">
        <x:v>Overhead Rope Extension</x:v>
      </x:c>
      <x:c r="D361" s="170" t="n">
        <x:v>3</x:v>
      </x:c>
      <x:c r="E361" s="170" t="n">
        <x:v>40</x:v>
      </x:c>
      <x:c r="F361" s="170" t="str">
        <x:v>kg total stack</x:v>
      </x:c>
      <x:c r="G361" s="170" t="n">
        <x:v>10</x:v>
      </x:c>
      <x:c r="H361" s="170" t="str">
        <x:v>Ribs down; elbows stable; shoulder soreness did not increase</x:v>
      </x:c>
      <x:c r="I361" s="170" t="str">
        <x:v>Very little shoulder soreness, unchanged from pre-workout; no shoulder, elbow or wrist pain</x:v>
      </x:c>
      <x:c r="J361" s="170" t="str">
        <x:v>Low final</x:v>
      </x:c>
      <x:c r="K361" s="170" t="str">
        <x:v>Good</x:v>
      </x:c>
      <x:c r="L361" s="170" t="str">
        <x:v>Keep load and add one clean rep</x:v>
      </x:c>
      <x:c r="M361" s="170" t="str">
        <x:v>Working</x:v>
      </x:c>
      <x:c r="N361" s="170" t="n">
        <x:v>2</x:v>
      </x:c>
    </x:row>
    <x:row r="362">
      <x:c r="A362" s="220" t="n">
        <x:v>46256</x:v>
      </x:c>
      <x:c r="B362" s="170" t="str">
        <x:v>Triceps</x:v>
      </x:c>
      <x:c r="C362" s="170" t="str">
        <x:v>Single-Arm Cable Pushdown</x:v>
      </x:c>
      <x:c r="D362" s="170" t="n">
        <x:v>1</x:v>
      </x:c>
      <x:c r="E362" s="170" t="n">
        <x:v>10</x:v>
      </x:c>
      <x:c r="F362" s="170" t="str">
        <x:v>kg stack; reps each arm</x:v>
      </x:c>
      <x:c r="G362" s="170" t="n">
        <x:v>15</x:v>
      </x:c>
      <x:c r="H362" s="170" t="str">
        <x:v>Both arms completed; side-to-side difference To verify</x:v>
      </x:c>
      <x:c r="I362" s="170" t="str">
        <x:v>Very little shoulder soreness, unchanged from pre-workout; no shoulder, elbow or wrist pain</x:v>
      </x:c>
      <x:c r="J362" s="170" t="str">
        <x:v>Low final</x:v>
      </x:c>
      <x:c r="K362" s="170" t="str">
        <x:v>Good</x:v>
      </x:c>
      <x:c r="L362" s="170"/>
      <x:c r="M362" s="170" t="str">
        <x:v>Working</x:v>
      </x:c>
      <x:c r="N362" s="170" t="n">
        <x:v>2</x:v>
      </x:c>
    </x:row>
    <x:row r="363">
      <x:c r="A363" s="220" t="n">
        <x:v>46256</x:v>
      </x:c>
      <x:c r="B363" s="170" t="str">
        <x:v>Triceps</x:v>
      </x:c>
      <x:c r="C363" s="170" t="str">
        <x:v>Single-Arm Cable Pushdown</x:v>
      </x:c>
      <x:c r="D363" s="170" t="n">
        <x:v>2</x:v>
      </x:c>
      <x:c r="E363" s="170" t="n">
        <x:v>15</x:v>
      </x:c>
      <x:c r="F363" s="170" t="str">
        <x:v>kg stack; reps each arm</x:v>
      </x:c>
      <x:c r="G363" s="170" t="n">
        <x:v>9</x:v>
      </x:c>
      <x:c r="H363" s="170" t="str">
        <x:v>Both arms completed; side-to-side difference To verify</x:v>
      </x:c>
      <x:c r="I363" s="170" t="str">
        <x:v>Very little shoulder soreness, unchanged from pre-workout; no shoulder, elbow or wrist pain</x:v>
      </x:c>
      <x:c r="J363" s="170" t="str">
        <x:v>Low final</x:v>
      </x:c>
      <x:c r="K363" s="170" t="str">
        <x:v>Good</x:v>
      </x:c>
      <x:c r="L363" s="170" t="str">
        <x:v>Better reserve than prior RIR-1 baseline</x:v>
      </x:c>
      <x:c r="M363" s="170" t="str">
        <x:v>Working</x:v>
      </x:c>
      <x:c r="N363" s="170" t="n">
        <x:v>2</x:v>
      </x:c>
    </x:row>
    <x:row r="364">
      <x:c r="A364" s="220" t="n">
        <x:v>46256</x:v>
      </x:c>
      <x:c r="B364" s="170" t="str">
        <x:v>Triceps</x:v>
      </x:c>
      <x:c r="C364" s="170" t="str">
        <x:v>Single-Arm Cable Pushdown</x:v>
      </x:c>
      <x:c r="D364" s="170" t="n">
        <x:v>3</x:v>
      </x:c>
      <x:c r="E364" s="170" t="n">
        <x:v>15</x:v>
      </x:c>
      <x:c r="F364" s="170" t="str">
        <x:v>kg stack; reps each arm</x:v>
      </x:c>
      <x:c r="G364" s="170" t="n">
        <x:v>10</x:v>
      </x:c>
      <x:c r="H364" s="170" t="str">
        <x:v>Both arms completed; side-to-side difference To verify</x:v>
      </x:c>
      <x:c r="I364" s="170" t="str">
        <x:v>Very little shoulder soreness, unchanged from pre-workout; no shoulder, elbow or wrist pain</x:v>
      </x:c>
      <x:c r="J364" s="170" t="str">
        <x:v>Low final</x:v>
      </x:c>
      <x:c r="K364" s="170" t="str">
        <x:v>Good</x:v>
      </x:c>
      <x:c r="L364" s="170" t="str">
        <x:v>Better reserve than prior RIR-1 baseline</x:v>
      </x:c>
      <x:c r="M364" s="170" t="str">
        <x:v>Working</x:v>
      </x:c>
      <x:c r="N364" s="170" t="n">
        <x:v>2</x:v>
      </x:c>
    </x:row>
    <x:row r="365">
      <x:c r="A365" s="220" t="n">
        <x:v>46256</x:v>
      </x:c>
      <x:c r="B365" s="170" t="str">
        <x:v>Triceps</x:v>
      </x:c>
      <x:c r="C365" s="170" t="str">
        <x:v>Seated Two-Hand Overhead Dumbbell Extension</x:v>
      </x:c>
      <x:c r="D365" s="170" t="n">
        <x:v>1</x:v>
      </x:c>
      <x:c r="E365" s="170" t="n">
        <x:v>20</x:v>
      </x:c>
      <x:c r="F365" s="170" t="str">
        <x:v>kg one dumbbell total</x:v>
      </x:c>
      <x:c r="G365" s="170" t="n">
        <x:v>15</x:v>
      </x:c>
      <x:c r="H365" s="170" t="str">
        <x:v>Back supported; ribs down; no forced reps</x:v>
      </x:c>
      <x:c r="I365" s="170" t="str">
        <x:v>Very little shoulder soreness, unchanged from pre-workout; no shoulder, elbow or wrist pain</x:v>
      </x:c>
      <x:c r="J365" s="170" t="str">
        <x:v>Low final</x:v>
      </x:c>
      <x:c r="K365" s="170" t="str">
        <x:v>Good</x:v>
      </x:c>
      <x:c r="L365" s="170"/>
      <x:c r="M365" s="170" t="str">
        <x:v>Working</x:v>
      </x:c>
      <x:c r="N365" s="170" t="n">
        <x:v>2</x:v>
      </x:c>
    </x:row>
    <x:row r="366">
      <x:c r="A366" s="220" t="n">
        <x:v>46256</x:v>
      </x:c>
      <x:c r="B366" s="170" t="str">
        <x:v>Triceps</x:v>
      </x:c>
      <x:c r="C366" s="170" t="str">
        <x:v>Seated Two-Hand Overhead Dumbbell Extension</x:v>
      </x:c>
      <x:c r="D366" s="170" t="n">
        <x:v>2</x:v>
      </x:c>
      <x:c r="E366" s="170" t="n">
        <x:v>22.5</x:v>
      </x:c>
      <x:c r="F366" s="170" t="str">
        <x:v>kg one dumbbell total</x:v>
      </x:c>
      <x:c r="G366" s="170" t="n">
        <x:v>13</x:v>
      </x:c>
      <x:c r="H366" s="170" t="str">
        <x:v>Back supported; ribs down; no forced reps</x:v>
      </x:c>
      <x:c r="I366" s="170" t="str">
        <x:v>Very little shoulder soreness, unchanged from pre-workout; no shoulder, elbow or wrist pain</x:v>
      </x:c>
      <x:c r="J366" s="170" t="str">
        <x:v>Low final</x:v>
      </x:c>
      <x:c r="K366" s="170" t="str">
        <x:v>Good</x:v>
      </x:c>
      <x:c r="L366" s="170" t="str">
        <x:v>Added one rep</x:v>
      </x:c>
      <x:c r="M366" s="170" t="str">
        <x:v>Working</x:v>
      </x:c>
      <x:c r="N366" s="170" t="n">
        <x:v>2</x:v>
      </x:c>
    </x:row>
    <x:row r="367">
      <x:c r="A367" s="220" t="n">
        <x:v>46256</x:v>
      </x:c>
      <x:c r="B367" s="170" t="str">
        <x:v>Triceps</x:v>
      </x:c>
      <x:c r="C367" s="170" t="str">
        <x:v>Seated Two-Hand Overhead Dumbbell Extension</x:v>
      </x:c>
      <x:c r="D367" s="170" t="n">
        <x:v>3</x:v>
      </x:c>
      <x:c r="E367" s="170" t="n">
        <x:v>25</x:v>
      </x:c>
      <x:c r="F367" s="170" t="str">
        <x:v>kg one dumbbell total</x:v>
      </x:c>
      <x:c r="G367" s="170" t="n">
        <x:v>10</x:v>
      </x:c>
      <x:c r="H367" s="170" t="str">
        <x:v>Back supported; ribs down; no forced reps</x:v>
      </x:c>
      <x:c r="I367" s="170" t="str">
        <x:v>Very little shoulder soreness, unchanged from pre-workout; no shoulder, elbow or wrist pain</x:v>
      </x:c>
      <x:c r="J367" s="170" t="str">
        <x:v>Low final</x:v>
      </x:c>
      <x:c r="K367" s="170" t="str">
        <x:v>Good</x:v>
      </x:c>
      <x:c r="L367" s="170" t="str">
        <x:v>Third set completed despite live reduction to two; retained as fatigue</x:v>
      </x:c>
      <x:c r="M367" s="170" t="str">
        <x:v>Working</x:v>
      </x:c>
      <x:c r="N367" s="170" t="n">
        <x:v>2</x:v>
      </x:c>
    </x:row>
    <x:row r="368">
      <x:c r="A368" s="220" t="n">
        <x:v>46256</x:v>
      </x:c>
      <x:c r="B368" s="170" t="str">
        <x:v>Triceps</x:v>
      </x:c>
      <x:c r="C368" s="170" t="str">
        <x:v>Assisted Dip Machine</x:v>
      </x:c>
      <x:c r="D368" s="170" t="n">
        <x:v>1</x:v>
      </x:c>
      <x:c r="E368" s="170" t="n">
        <x:v>70</x:v>
      </x:c>
      <x:c r="F368" s="170" t="str">
        <x:v>kg machine assistance; higher is easier</x:v>
      </x:c>
      <x:c r="G368" s="170" t="n">
        <x:v>15</x:v>
      </x:c>
      <x:c r="H368" s="170" t="str">
        <x:v>Controlled depth; no forced human assistance</x:v>
      </x:c>
      <x:c r="I368" s="170" t="str">
        <x:v>Very little shoulder soreness, unchanged from pre-workout; no shoulder, elbow or wrist pain</x:v>
      </x:c>
      <x:c r="J368" s="170" t="str">
        <x:v>Low final</x:v>
      </x:c>
      <x:c r="K368" s="170" t="str">
        <x:v>Good</x:v>
      </x:c>
      <x:c r="L368" s="170"/>
      <x:c r="M368" s="170" t="str">
        <x:v>Working</x:v>
      </x:c>
      <x:c r="N368" s="170" t="n">
        <x:v>3</x:v>
      </x:c>
    </x:row>
    <x:row r="369">
      <x:c r="A369" s="220" t="n">
        <x:v>46256</x:v>
      </x:c>
      <x:c r="B369" s="170" t="str">
        <x:v>Triceps</x:v>
      </x:c>
      <x:c r="C369" s="170" t="str">
        <x:v>Assisted Dip Machine</x:v>
      </x:c>
      <x:c r="D369" s="170" t="n">
        <x:v>2</x:v>
      </x:c>
      <x:c r="E369" s="170" t="n">
        <x:v>60</x:v>
      </x:c>
      <x:c r="F369" s="170" t="str">
        <x:v>kg machine assistance; higher is easier</x:v>
      </x:c>
      <x:c r="G369" s="170" t="n">
        <x:v>12</x:v>
      </x:c>
      <x:c r="H369" s="170" t="str">
        <x:v>Controlled depth; no forced human assistance</x:v>
      </x:c>
      <x:c r="I369" s="170" t="str">
        <x:v>Very little shoulder soreness, unchanged from pre-workout; no shoulder, elbow or wrist pain</x:v>
      </x:c>
      <x:c r="J369" s="170" t="str">
        <x:v>Low final</x:v>
      </x:c>
      <x:c r="K369" s="170" t="str">
        <x:v>Good</x:v>
      </x:c>
      <x:c r="L369" s="170"/>
      <x:c r="M369" s="170" t="str">
        <x:v>Working</x:v>
      </x:c>
      <x:c r="N369" s="170" t="n">
        <x:v>2</x:v>
      </x:c>
    </x:row>
    <x:row r="370">
      <x:c r="A370" s="220" t="n">
        <x:v>46256</x:v>
      </x:c>
      <x:c r="B370" s="170" t="str">
        <x:v>Triceps</x:v>
      </x:c>
      <x:c r="C370" s="170" t="str">
        <x:v>Assisted Dip Machine</x:v>
      </x:c>
      <x:c r="D370" s="170" t="n">
        <x:v>3</x:v>
      </x:c>
      <x:c r="E370" s="170" t="n">
        <x:v>50</x:v>
      </x:c>
      <x:c r="F370" s="170" t="str">
        <x:v>kg machine assistance; higher is easier</x:v>
      </x:c>
      <x:c r="G370" s="170" t="n">
        <x:v>9</x:v>
      </x:c>
      <x:c r="H370" s="170" t="str">
        <x:v>Controlled depth; no forced human assistance</x:v>
      </x:c>
      <x:c r="I370" s="170" t="str">
        <x:v>Very little shoulder soreness, unchanged from pre-workout; no shoulder, elbow or wrist pain</x:v>
      </x:c>
      <x:c r="J370" s="170" t="str">
        <x:v>Low final</x:v>
      </x:c>
      <x:c r="K370" s="170" t="str">
        <x:v>Good</x:v>
      </x:c>
      <x:c r="L370" s="170" t="str">
        <x:v>Third set completed despite live reduction to two; improve reserve before reducing assistance</x:v>
      </x:c>
      <x:c r="M370" s="170" t="str">
        <x:v>Working</x:v>
      </x:c>
      <x:c r="N370" s="170" t="n">
        <x:v>1</x:v>
      </x:c>
    </x:row>
    <x:row r="371">
      <x:c r="A371" s="220" t="n">
        <x:v>46258</x:v>
      </x:c>
      <x:c r="B371" s="170" t="str">
        <x:v>Back</x:v>
      </x:c>
      <x:c r="C371" s="170" t="str">
        <x:v>Lat Pulldown</x:v>
      </x:c>
      <x:c r="D371" s="170" t="n">
        <x:v>1</x:v>
      </x:c>
      <x:c r="E371" s="170" t="n">
        <x:v>45</x:v>
      </x:c>
      <x:c r="F371" s="170" t="str">
        <x:v>kg total stack</x:v>
      </x:c>
      <x:c r="G371" s="170" t="n">
        <x:v>16</x:v>
      </x:c>
      <x:c r="H371" s="170" t="str">
        <x:v>No assistance or technique breakdown reported; detailed form To verify</x:v>
      </x:c>
      <x:c r="I371" s="170" t="str">
        <x:v>No back, biceps, elbow, shoulder or lower-back pain; no unusual sensation reported</x:v>
      </x:c>
      <x:c r="J371" s="170" t="str">
        <x:v>Low final</x:v>
      </x:c>
      <x:c r="K371" s="170" t="str">
        <x:v>Good</x:v>
      </x:c>
      <x:c r="L371" s="170" t="str">
        <x:v>Preparation set but RIR 3 and high repetitions created working-level fatigue</x:v>
      </x:c>
      <x:c r="M371" s="170" t="str">
        <x:v>Warm-up</x:v>
      </x:c>
      <x:c r="N371" s="170" t="n">
        <x:v>3</x:v>
      </x:c>
    </x:row>
    <x:row r="372">
      <x:c r="A372" s="220" t="n">
        <x:v>46258</x:v>
      </x:c>
      <x:c r="B372" s="170" t="str">
        <x:v>Back</x:v>
      </x:c>
      <x:c r="C372" s="170" t="str">
        <x:v>Lat Pulldown</x:v>
      </x:c>
      <x:c r="D372" s="170" t="n">
        <x:v>2</x:v>
      </x:c>
      <x:c r="E372" s="170" t="n">
        <x:v>50</x:v>
      </x:c>
      <x:c r="F372" s="170" t="str">
        <x:v>kg total stack</x:v>
      </x:c>
      <x:c r="G372" s="170" t="n">
        <x:v>13</x:v>
      </x:c>
      <x:c r="H372" s="170" t="str">
        <x:v>No assistance or technique breakdown reported; detailed form To verify</x:v>
      </x:c>
      <x:c r="I372" s="170" t="str">
        <x:v>No back, biceps, elbow, shoulder or lower-back pain; no unusual sensation reported</x:v>
      </x:c>
      <x:c r="J372" s="170" t="str">
        <x:v>Low final</x:v>
      </x:c>
      <x:c r="K372" s="170" t="str">
        <x:v>Good</x:v>
      </x:c>
      <x:c r="L372" s="170"/>
      <x:c r="M372" s="170" t="str">
        <x:v>Working</x:v>
      </x:c>
      <x:c r="N372" s="170" t="n">
        <x:v>2</x:v>
      </x:c>
    </x:row>
    <x:row r="373">
      <x:c r="A373" s="220" t="n">
        <x:v>46258</x:v>
      </x:c>
      <x:c r="B373" s="170" t="str">
        <x:v>Back</x:v>
      </x:c>
      <x:c r="C373" s="170" t="str">
        <x:v>Lat Pulldown</x:v>
      </x:c>
      <x:c r="D373" s="170" t="n">
        <x:v>3</x:v>
      </x:c>
      <x:c r="E373" s="170" t="n">
        <x:v>55</x:v>
      </x:c>
      <x:c r="F373" s="170" t="str">
        <x:v>kg total stack</x:v>
      </x:c>
      <x:c r="G373" s="170" t="n">
        <x:v>11</x:v>
      </x:c>
      <x:c r="H373" s="170" t="str">
        <x:v>No assistance or technique breakdown reported; detailed form To verify</x:v>
      </x:c>
      <x:c r="I373" s="170" t="str">
        <x:v>No back, biceps, elbow, shoulder or lower-back pain; no unusual sensation reported</x:v>
      </x:c>
      <x:c r="J373" s="170" t="str">
        <x:v>Low final</x:v>
      </x:c>
      <x:c r="K373" s="170" t="str">
        <x:v>Good</x:v>
      </x:c>
      <x:c r="L373" s="170" t="str">
        <x:v>Reached target</x:v>
      </x:c>
      <x:c r="M373" s="170" t="str">
        <x:v>Working</x:v>
      </x:c>
      <x:c r="N373" s="170" t="n">
        <x:v>2</x:v>
      </x:c>
    </x:row>
    <x:row r="374">
      <x:c r="A374" s="220" t="n">
        <x:v>46258</x:v>
      </x:c>
      <x:c r="B374" s="170" t="str">
        <x:v>Back</x:v>
      </x:c>
      <x:c r="C374" s="170" t="str">
        <x:v>Lat Pulldown</x:v>
      </x:c>
      <x:c r="D374" s="170" t="n">
        <x:v>4</x:v>
      </x:c>
      <x:c r="E374" s="170" t="n">
        <x:v>60</x:v>
      </x:c>
      <x:c r="F374" s="170" t="str">
        <x:v>kg total stack</x:v>
      </x:c>
      <x:c r="G374" s="170" t="n">
        <x:v>9</x:v>
      </x:c>
      <x:c r="H374" s="170" t="str">
        <x:v>No assistance or technique breakdown reported; detailed form To verify</x:v>
      </x:c>
      <x:c r="I374" s="170" t="str">
        <x:v>No back, biceps, elbow, shoulder or lower-back pain; no unusual sensation reported</x:v>
      </x:c>
      <x:c r="J374" s="170" t="str">
        <x:v>Low final</x:v>
      </x:c>
      <x:c r="K374" s="170" t="str">
        <x:v>Good</x:v>
      </x:c>
      <x:c r="L374" s="170" t="str">
        <x:v>Added one rep while improving reserve</x:v>
      </x:c>
      <x:c r="M374" s="170" t="str">
        <x:v>Working</x:v>
      </x:c>
      <x:c r="N374" s="170" t="n">
        <x:v>2</x:v>
      </x:c>
    </x:row>
    <x:row r="375">
      <x:c r="A375" s="220" t="n">
        <x:v>46258</x:v>
      </x:c>
      <x:c r="B375" s="170" t="str">
        <x:v>Back</x:v>
      </x:c>
      <x:c r="C375" s="170" t="str">
        <x:v>Seated Cable Row</x:v>
      </x:c>
      <x:c r="D375" s="170" t="n">
        <x:v>1</x:v>
      </x:c>
      <x:c r="E375" s="170" t="n">
        <x:v>45</x:v>
      </x:c>
      <x:c r="F375" s="170" t="str">
        <x:v>kg total stack</x:v>
      </x:c>
      <x:c r="G375" s="170" t="n">
        <x:v>15</x:v>
      </x:c>
      <x:c r="H375" s="170" t="str">
        <x:v>No assistance or technique breakdown reported; detailed form To verify</x:v>
      </x:c>
      <x:c r="I375" s="170" t="str">
        <x:v>No back, biceps, elbow, shoulder or lower-back pain; no unusual sensation reported</x:v>
      </x:c>
      <x:c r="J375" s="170" t="str">
        <x:v>Low final</x:v>
      </x:c>
      <x:c r="K375" s="170" t="str">
        <x:v>Good</x:v>
      </x:c>
      <x:c r="L375" s="170" t="str">
        <x:v>Preparation set but RIR 3 and high repetitions created working-level fatigue</x:v>
      </x:c>
      <x:c r="M375" s="170" t="str">
        <x:v>Warm-up</x:v>
      </x:c>
      <x:c r="N375" s="170" t="n">
        <x:v>3</x:v>
      </x:c>
    </x:row>
    <x:row r="376">
      <x:c r="A376" s="220" t="n">
        <x:v>46258</x:v>
      </x:c>
      <x:c r="B376" s="170" t="str">
        <x:v>Back</x:v>
      </x:c>
      <x:c r="C376" s="170" t="str">
        <x:v>Seated Cable Row</x:v>
      </x:c>
      <x:c r="D376" s="170" t="n">
        <x:v>2</x:v>
      </x:c>
      <x:c r="E376" s="170" t="n">
        <x:v>50</x:v>
      </x:c>
      <x:c r="F376" s="170" t="str">
        <x:v>kg total stack</x:v>
      </x:c>
      <x:c r="G376" s="170" t="n">
        <x:v>12</x:v>
      </x:c>
      <x:c r="H376" s="170" t="str">
        <x:v>No assistance or technique breakdown reported; detailed form To verify</x:v>
      </x:c>
      <x:c r="I376" s="170" t="str">
        <x:v>No back, biceps, elbow, shoulder or lower-back pain; no unusual sensation reported</x:v>
      </x:c>
      <x:c r="J376" s="170" t="str">
        <x:v>Low final</x:v>
      </x:c>
      <x:c r="K376" s="170" t="str">
        <x:v>Good</x:v>
      </x:c>
      <x:c r="L376" s="170"/>
      <x:c r="M376" s="170" t="str">
        <x:v>Working</x:v>
      </x:c>
      <x:c r="N376" s="170" t="n">
        <x:v>3</x:v>
      </x:c>
    </x:row>
    <x:row r="377">
      <x:c r="A377" s="220" t="n">
        <x:v>46258</x:v>
      </x:c>
      <x:c r="B377" s="170" t="str">
        <x:v>Back</x:v>
      </x:c>
      <x:c r="C377" s="170" t="str">
        <x:v>Seated Cable Row</x:v>
      </x:c>
      <x:c r="D377" s="170" t="n">
        <x:v>3</x:v>
      </x:c>
      <x:c r="E377" s="170" t="n">
        <x:v>55</x:v>
      </x:c>
      <x:c r="F377" s="170" t="str">
        <x:v>kg total stack</x:v>
      </x:c>
      <x:c r="G377" s="170" t="n">
        <x:v>10</x:v>
      </x:c>
      <x:c r="H377" s="170" t="str">
        <x:v>No assistance or technique breakdown reported; detailed form To verify</x:v>
      </x:c>
      <x:c r="I377" s="170" t="str">
        <x:v>No back, biceps, elbow, shoulder or lower-back pain; no unusual sensation reported</x:v>
      </x:c>
      <x:c r="J377" s="170" t="str">
        <x:v>Low final</x:v>
      </x:c>
      <x:c r="K377" s="170" t="str">
        <x:v>Good</x:v>
      </x:c>
      <x:c r="L377" s="170" t="str">
        <x:v>Reserve improved</x:v>
      </x:c>
      <x:c r="M377" s="170" t="str">
        <x:v>Working</x:v>
      </x:c>
      <x:c r="N377" s="170" t="n">
        <x:v>3</x:v>
      </x:c>
    </x:row>
    <x:row r="378">
      <x:c r="A378" s="220" t="n">
        <x:v>46258</x:v>
      </x:c>
      <x:c r="B378" s="170" t="str">
        <x:v>Back</x:v>
      </x:c>
      <x:c r="C378" s="170" t="str">
        <x:v>Seated Cable Row</x:v>
      </x:c>
      <x:c r="D378" s="170" t="n">
        <x:v>4</x:v>
      </x:c>
      <x:c r="E378" s="170" t="n">
        <x:v>60</x:v>
      </x:c>
      <x:c r="F378" s="170" t="str">
        <x:v>kg total stack</x:v>
      </x:c>
      <x:c r="G378" s="170" t="n">
        <x:v>10</x:v>
      </x:c>
      <x:c r="H378" s="170" t="str">
        <x:v>No assistance or technique breakdown reported; detailed form To verify</x:v>
      </x:c>
      <x:c r="I378" s="170" t="str">
        <x:v>No back, biceps, elbow, shoulder or lower-back pain; no unusual sensation reported</x:v>
      </x:c>
      <x:c r="J378" s="170" t="str">
        <x:v>Low final</x:v>
      </x:c>
      <x:c r="K378" s="170" t="str">
        <x:v>Good</x:v>
      </x:c>
      <x:c r="L378" s="170" t="str">
        <x:v>Added one rep but missed RIR-2 target; keep load</x:v>
      </x:c>
      <x:c r="M378" s="170" t="str">
        <x:v>Working</x:v>
      </x:c>
      <x:c r="N378" s="170" t="n">
        <x:v>1</x:v>
      </x:c>
    </x:row>
    <x:row r="379">
      <x:c r="A379" s="220" t="n">
        <x:v>46258</x:v>
      </x:c>
      <x:c r="B379" s="170" t="str">
        <x:v>Back</x:v>
      </x:c>
      <x:c r="C379" s="170" t="str">
        <x:v>Chest-Supported Row</x:v>
      </x:c>
      <x:c r="D379" s="170" t="n">
        <x:v>1</x:v>
      </x:c>
      <x:c r="E379" s="170" t="n">
        <x:v>40</x:v>
      </x:c>
      <x:c r="F379" s="170" t="str">
        <x:v>kg plates each side</x:v>
      </x:c>
      <x:c r="G379" s="170" t="n">
        <x:v>16</x:v>
      </x:c>
      <x:c r="H379" s="170" t="str">
        <x:v>No assistance or technique breakdown reported; detailed form To verify</x:v>
      </x:c>
      <x:c r="I379" s="170" t="str">
        <x:v>No back, biceps, elbow, shoulder or lower-back pain; no unusual sensation reported</x:v>
      </x:c>
      <x:c r="J379" s="170" t="str">
        <x:v>Low final</x:v>
      </x:c>
      <x:c r="K379" s="170" t="str">
        <x:v>Good</x:v>
      </x:c>
      <x:c r="L379" s="170" t="str">
        <x:v>Added one rep</x:v>
      </x:c>
      <x:c r="M379" s="170" t="str">
        <x:v>Working</x:v>
      </x:c>
      <x:c r="N379" s="170" t="n">
        <x:v>3</x:v>
      </x:c>
    </x:row>
    <x:row r="380">
      <x:c r="A380" s="220" t="n">
        <x:v>46258</x:v>
      </x:c>
      <x:c r="B380" s="170" t="str">
        <x:v>Back</x:v>
      </x:c>
      <x:c r="C380" s="170" t="str">
        <x:v>Chest-Supported Row</x:v>
      </x:c>
      <x:c r="D380" s="170" t="n">
        <x:v>2</x:v>
      </x:c>
      <x:c r="E380" s="170" t="n">
        <x:v>50</x:v>
      </x:c>
      <x:c r="F380" s="170" t="str">
        <x:v>kg plates each side</x:v>
      </x:c>
      <x:c r="G380" s="170" t="n">
        <x:v>13</x:v>
      </x:c>
      <x:c r="H380" s="170" t="str">
        <x:v>No assistance or technique breakdown reported; detailed form To verify</x:v>
      </x:c>
      <x:c r="I380" s="170" t="str">
        <x:v>No back, biceps, elbow, shoulder or lower-back pain; no unusual sensation reported</x:v>
      </x:c>
      <x:c r="J380" s="170" t="str">
        <x:v>Low final</x:v>
      </x:c>
      <x:c r="K380" s="170" t="str">
        <x:v>Good</x:v>
      </x:c>
      <x:c r="L380" s="170" t="str">
        <x:v>Reserve improved</x:v>
      </x:c>
      <x:c r="M380" s="170" t="str">
        <x:v>Working</x:v>
      </x:c>
      <x:c r="N380" s="170" t="n">
        <x:v>3</x:v>
      </x:c>
    </x:row>
    <x:row r="381">
      <x:c r="A381" s="220" t="n">
        <x:v>46258</x:v>
      </x:c>
      <x:c r="B381" s="170" t="str">
        <x:v>Back</x:v>
      </x:c>
      <x:c r="C381" s="170" t="str">
        <x:v>Chest-Supported Row</x:v>
      </x:c>
      <x:c r="D381" s="170" t="n">
        <x:v>3</x:v>
      </x:c>
      <x:c r="E381" s="170" t="n">
        <x:v>60</x:v>
      </x:c>
      <x:c r="F381" s="170" t="str">
        <x:v>kg plates each side</x:v>
      </x:c>
      <x:c r="G381" s="170" t="n">
        <x:v>11</x:v>
      </x:c>
      <x:c r="H381" s="170" t="str">
        <x:v>No assistance or technique breakdown reported; detailed form To verify</x:v>
      </x:c>
      <x:c r="I381" s="170" t="str">
        <x:v>No back, biceps, elbow, shoulder or lower-back pain; no unusual sensation reported</x:v>
      </x:c>
      <x:c r="J381" s="170" t="str">
        <x:v>Low final</x:v>
      </x:c>
      <x:c r="K381" s="170" t="str">
        <x:v>Good</x:v>
      </x:c>
      <x:c r="L381" s="170" t="str">
        <x:v>Quality progression through improved reserve</x:v>
      </x:c>
      <x:c r="M381" s="170" t="str">
        <x:v>Working</x:v>
      </x:c>
      <x:c r="N381" s="170" t="n">
        <x:v>3</x:v>
      </x:c>
    </x:row>
    <x:row r="382">
      <x:c r="A382" s="220" t="n">
        <x:v>46258</x:v>
      </x:c>
      <x:c r="B382" s="170" t="str">
        <x:v>Back</x:v>
      </x:c>
      <x:c r="C382" s="170" t="str">
        <x:v>Straight-Arm Pulldown</x:v>
      </x:c>
      <x:c r="D382" s="170" t="n">
        <x:v>1</x:v>
      </x:c>
      <x:c r="E382" s="170" t="n">
        <x:v>45</x:v>
      </x:c>
      <x:c r="F382" s="170" t="str">
        <x:v>kg total stack</x:v>
      </x:c>
      <x:c r="G382" s="170" t="n">
        <x:v>15</x:v>
      </x:c>
      <x:c r="H382" s="170" t="str">
        <x:v>No assistance or technique breakdown reported; detailed form To verify</x:v>
      </x:c>
      <x:c r="I382" s="170" t="str">
        <x:v>No back, biceps, elbow, shoulder or lower-back pain; no unusual sensation reported</x:v>
      </x:c>
      <x:c r="J382" s="170" t="str">
        <x:v>Low final</x:v>
      </x:c>
      <x:c r="K382" s="170" t="str">
        <x:v>Good</x:v>
      </x:c>
      <x:c r="L382" s="170"/>
      <x:c r="M382" s="170" t="str">
        <x:v>Working</x:v>
      </x:c>
      <x:c r="N382" s="170" t="n">
        <x:v>2</x:v>
      </x:c>
    </x:row>
    <x:row r="383">
      <x:c r="A383" s="220" t="n">
        <x:v>46258</x:v>
      </x:c>
      <x:c r="B383" s="170" t="str">
        <x:v>Back</x:v>
      </x:c>
      <x:c r="C383" s="170" t="str">
        <x:v>Straight-Arm Pulldown</x:v>
      </x:c>
      <x:c r="D383" s="170" t="n">
        <x:v>2</x:v>
      </x:c>
      <x:c r="E383" s="170" t="n">
        <x:v>50</x:v>
      </x:c>
      <x:c r="F383" s="170" t="str">
        <x:v>kg total stack</x:v>
      </x:c>
      <x:c r="G383" s="170" t="n">
        <x:v>12</x:v>
      </x:c>
      <x:c r="H383" s="170" t="str">
        <x:v>No assistance or technique breakdown reported; detailed form To verify</x:v>
      </x:c>
      <x:c r="I383" s="170" t="str">
        <x:v>No back, biceps, elbow, shoulder or lower-back pain; no unusual sensation reported</x:v>
      </x:c>
      <x:c r="J383" s="170" t="str">
        <x:v>Low final</x:v>
      </x:c>
      <x:c r="K383" s="170" t="str">
        <x:v>Good</x:v>
      </x:c>
      <x:c r="L383" s="170" t="str">
        <x:v>Reached target</x:v>
      </x:c>
      <x:c r="M383" s="170" t="str">
        <x:v>Working</x:v>
      </x:c>
      <x:c r="N383" s="170" t="n">
        <x:v>2</x:v>
      </x:c>
    </x:row>
    <x:row r="384">
      <x:c r="A384" s="220" t="n">
        <x:v>46258</x:v>
      </x:c>
      <x:c r="B384" s="170" t="str">
        <x:v>Back</x:v>
      </x:c>
      <x:c r="C384" s="170" t="str">
        <x:v>Straight-Arm Pulldown</x:v>
      </x:c>
      <x:c r="D384" s="170" t="n">
        <x:v>3</x:v>
      </x:c>
      <x:c r="E384" s="170" t="n">
        <x:v>55</x:v>
      </x:c>
      <x:c r="F384" s="170" t="str">
        <x:v>kg total stack</x:v>
      </x:c>
      <x:c r="G384" s="170" t="n">
        <x:v>9</x:v>
      </x:c>
      <x:c r="H384" s="170" t="str">
        <x:v>No assistance or technique breakdown reported; detailed form To verify</x:v>
      </x:c>
      <x:c r="I384" s="170" t="str">
        <x:v>No back, biceps, elbow, shoulder or lower-back pain; no unusual sensation reported</x:v>
      </x:c>
      <x:c r="J384" s="170" t="str">
        <x:v>Low final</x:v>
      </x:c>
      <x:c r="K384" s="170" t="str">
        <x:v>Good</x:v>
      </x:c>
      <x:c r="L384" s="170" t="str">
        <x:v>Unplanned third set; retained as fatigue; no progression credit</x:v>
      </x:c>
      <x:c r="M384" s="170" t="str">
        <x:v>Working</x:v>
      </x:c>
      <x:c r="N384" s="170" t="n">
        <x:v>1</x:v>
      </x:c>
    </x:row>
    <x:row r="385">
      <x:c r="A385" s="220" t="n">
        <x:v>46258</x:v>
      </x:c>
      <x:c r="B385" s="170" t="str">
        <x:v>Biceps</x:v>
      </x:c>
      <x:c r="C385" s="170" t="str">
        <x:v>Incline Dumbbell Curl</x:v>
      </x:c>
      <x:c r="D385" s="170" t="n">
        <x:v>1</x:v>
      </x:c>
      <x:c r="E385" s="170" t="n">
        <x:v>7.5</x:v>
      </x:c>
      <x:c r="F385" s="170" t="str">
        <x:v>kg each dumbbell</x:v>
      </x:c>
      <x:c r="G385" s="170" t="n">
        <x:v>15</x:v>
      </x:c>
      <x:c r="H385" s="170" t="str">
        <x:v>No assistance or technique breakdown reported; detailed form To verify</x:v>
      </x:c>
      <x:c r="I385" s="170" t="str">
        <x:v>No back, biceps, elbow, shoulder or lower-back pain; no unusual sensation reported</x:v>
      </x:c>
      <x:c r="J385" s="170" t="str">
        <x:v>Low final</x:v>
      </x:c>
      <x:c r="K385" s="170" t="str">
        <x:v>Good</x:v>
      </x:c>
      <x:c r="L385" s="170" t="str">
        <x:v>Completed after live reduction to two sets</x:v>
      </x:c>
      <x:c r="M385" s="170" t="str">
        <x:v>Working</x:v>
      </x:c>
      <x:c r="N385" s="170" t="n">
        <x:v>2</x:v>
      </x:c>
    </x:row>
    <x:row r="386">
      <x:c r="A386" s="220" t="n">
        <x:v>46258</x:v>
      </x:c>
      <x:c r="B386" s="170" t="str">
        <x:v>Biceps</x:v>
      </x:c>
      <x:c r="C386" s="170" t="str">
        <x:v>Incline Dumbbell Curl</x:v>
      </x:c>
      <x:c r="D386" s="170" t="n">
        <x:v>2</x:v>
      </x:c>
      <x:c r="E386" s="170" t="n">
        <x:v>10</x:v>
      </x:c>
      <x:c r="F386" s="170" t="str">
        <x:v>kg each dumbbell</x:v>
      </x:c>
      <x:c r="G386" s="170" t="n">
        <x:v>12</x:v>
      </x:c>
      <x:c r="H386" s="170" t="str">
        <x:v>No assistance or technique breakdown reported; detailed form To verify</x:v>
      </x:c>
      <x:c r="I386" s="170" t="str">
        <x:v>No back, biceps, elbow, shoulder or lower-back pain; no unusual sensation reported</x:v>
      </x:c>
      <x:c r="J386" s="170" t="str">
        <x:v>Low final</x:v>
      </x:c>
      <x:c r="K386" s="170" t="str">
        <x:v>Good</x:v>
      </x:c>
      <x:c r="L386" s="170"/>
      <x:c r="M386" s="170" t="str">
        <x:v>Working</x:v>
      </x:c>
      <x:c r="N386" s="170" t="n">
        <x:v>2</x:v>
      </x:c>
    </x:row>
    <x:row r="387">
      <x:c r="A387" s="220" t="n">
        <x:v>46258</x:v>
      </x:c>
      <x:c r="B387" s="170" t="str">
        <x:v>Biceps</x:v>
      </x:c>
      <x:c r="C387" s="170" t="str">
        <x:v>Incline Dumbbell Curl</x:v>
      </x:c>
      <x:c r="D387" s="170" t="n">
        <x:v>3</x:v>
      </x:c>
      <x:c r="E387" s="170" t="n">
        <x:v>12.5</x:v>
      </x:c>
      <x:c r="F387" s="170" t="str">
        <x:v>kg each dumbbell</x:v>
      </x:c>
      <x:c r="G387" s="170" t="n">
        <x:v>9</x:v>
      </x:c>
      <x:c r="H387" s="170" t="str">
        <x:v>No assistance or technique breakdown reported; detailed form To verify</x:v>
      </x:c>
      <x:c r="I387" s="170" t="str">
        <x:v>No back, biceps, elbow, shoulder or lower-back pain; no unusual sensation reported</x:v>
      </x:c>
      <x:c r="J387" s="170" t="str">
        <x:v>Low final</x:v>
      </x:c>
      <x:c r="K387" s="170" t="str">
        <x:v>Good</x:v>
      </x:c>
      <x:c r="L387" s="170" t="str">
        <x:v>Third set completed despite live reduction; keep load</x:v>
      </x:c>
      <x:c r="M387" s="170" t="str">
        <x:v>Working</x:v>
      </x:c>
      <x:c r="N387" s="170" t="n">
        <x:v>1</x:v>
      </x:c>
    </x:row>
    <x:row r="388">
      <x:c r="A388" s="220" t="n">
        <x:v>46258</x:v>
      </x:c>
      <x:c r="B388" s="170" t="str">
        <x:v>Biceps</x:v>
      </x:c>
      <x:c r="C388" s="170" t="str">
        <x:v>Hammer Curl</x:v>
      </x:c>
      <x:c r="D388" s="170" t="n">
        <x:v>1</x:v>
      </x:c>
      <x:c r="E388" s="170" t="n">
        <x:v>12.5</x:v>
      </x:c>
      <x:c r="F388" s="170" t="str">
        <x:v>kg each dumbbell</x:v>
      </x:c>
      <x:c r="G388" s="170" t="n">
        <x:v>17</x:v>
      </x:c>
      <x:c r="H388" s="170" t="str">
        <x:v>No assistance or technique breakdown reported; detailed form To verify</x:v>
      </x:c>
      <x:c r="I388" s="170" t="str">
        <x:v>No back, biceps, elbow, shoulder or lower-back pain; no unusual sensation reported</x:v>
      </x:c>
      <x:c r="J388" s="170" t="str">
        <x:v>Low final</x:v>
      </x:c>
      <x:c r="K388" s="170" t="str">
        <x:v>Good</x:v>
      </x:c>
      <x:c r="L388" s="170" t="str">
        <x:v>Only one set was prescribed after live volume adjustment</x:v>
      </x:c>
      <x:c r="M388" s="170" t="str">
        <x:v>Working</x:v>
      </x:c>
      <x:c r="N388" s="170" t="n">
        <x:v>2</x:v>
      </x:c>
    </x:row>
    <x:row r="389">
      <x:c r="A389" s="220" t="n">
        <x:v>46258</x:v>
      </x:c>
      <x:c r="B389" s="170" t="str">
        <x:v>Biceps</x:v>
      </x:c>
      <x:c r="C389" s="170" t="str">
        <x:v>Hammer Curl</x:v>
      </x:c>
      <x:c r="D389" s="170" t="n">
        <x:v>2</x:v>
      </x:c>
      <x:c r="E389" s="170" t="n">
        <x:v>15</x:v>
      </x:c>
      <x:c r="F389" s="170" t="str">
        <x:v>kg each dumbbell</x:v>
      </x:c>
      <x:c r="G389" s="170" t="n">
        <x:v>14</x:v>
      </x:c>
      <x:c r="H389" s="170" t="str">
        <x:v>No assistance or technique breakdown reported; detailed form To verify</x:v>
      </x:c>
      <x:c r="I389" s="170" t="str">
        <x:v>No back, biceps, elbow, shoulder or lower-back pain; no unusual sensation reported</x:v>
      </x:c>
      <x:c r="J389" s="170" t="str">
        <x:v>Low final</x:v>
      </x:c>
      <x:c r="K389" s="170" t="str">
        <x:v>Good</x:v>
      </x:c>
      <x:c r="L389" s="170" t="str">
        <x:v>Unplanned after live one-set limit; retained as fatigue</x:v>
      </x:c>
      <x:c r="M389" s="170" t="str">
        <x:v>Working</x:v>
      </x:c>
      <x:c r="N389" s="170" t="n">
        <x:v>2</x:v>
      </x:c>
    </x:row>
    <x:row r="390">
      <x:c r="A390" s="220" t="n">
        <x:v>46258</x:v>
      </x:c>
      <x:c r="B390" s="170" t="str">
        <x:v>Biceps</x:v>
      </x:c>
      <x:c r="C390" s="170" t="str">
        <x:v>Hammer Curl</x:v>
      </x:c>
      <x:c r="D390" s="170" t="n">
        <x:v>3</x:v>
      </x:c>
      <x:c r="E390" s="170" t="n">
        <x:v>17.5</x:v>
      </x:c>
      <x:c r="F390" s="170" t="str">
        <x:v>kg each dumbbell</x:v>
      </x:c>
      <x:c r="G390" s="170" t="n">
        <x:v>11</x:v>
      </x:c>
      <x:c r="H390" s="170" t="str">
        <x:v>No assistance or technique breakdown reported; detailed form To verify</x:v>
      </x:c>
      <x:c r="I390" s="170" t="str">
        <x:v>No back, biceps, elbow, shoulder or lower-back pain; no unusual sensation reported</x:v>
      </x:c>
      <x:c r="J390" s="170" t="str">
        <x:v>Low final</x:v>
      </x:c>
      <x:c r="K390" s="170" t="str">
        <x:v>Good</x:v>
      </x:c>
      <x:c r="L390" s="170" t="str">
        <x:v>Unplanned after live one-set limit; keep load until 12 reps at RIR 2</x:v>
      </x:c>
      <x:c r="M390" s="170" t="str">
        <x:v>Working</x:v>
      </x:c>
      <x:c r="N390" s="170" t="n">
        <x:v>2</x:v>
      </x:c>
    </x:row>
    <x:row r="391">
      <x:c r="A391" s="220" t="n">
        <x:v>46259</x:v>
      </x:c>
      <x:c r="B391" s="170" t="str">
        <x:v>Chest</x:v>
      </x:c>
      <x:c r="C391" s="170" t="str">
        <x:v>Flat Bench Press</x:v>
      </x:c>
      <x:c r="D391" s="170" t="n">
        <x:v>1</x:v>
      </x:c>
      <x:c r="E391" s="170" t="n">
        <x:v>15</x:v>
      </x:c>
      <x:c r="F391" s="170" t="str">
        <x:v>kg plates each side; bar excluded</x:v>
      </x:c>
      <x:c r="G391" s="170" t="n">
        <x:v>15</x:v>
      </x:c>
      <x:c r="H391" s="170" t="str">
        <x:v>Clean and unassisted; detailed bar path To verify</x:v>
      </x:c>
      <x:c r="I391" s="170" t="str">
        <x:v>No chest, shoulder, elbow or wrist pain; strong non-painful upper-biceps/arm pump likely pec-deck-related; exact side To verify</x:v>
      </x:c>
      <x:c r="J391" s="170" t="str">
        <x:v>Low final</x:v>
      </x:c>
      <x:c r="K391" s="170" t="str">
        <x:v>Good</x:v>
      </x:c>
      <x:c r="L391" s="170" t="str">
        <x:v>RIR-3 high-repetition set counted as meaningful fatigue, not preparation</x:v>
      </x:c>
      <x:c r="M391" s="170" t="str">
        <x:v>Working</x:v>
      </x:c>
      <x:c r="N391" s="170" t="n">
        <x:v>3</x:v>
      </x:c>
    </x:row>
    <x:row r="392">
      <x:c r="A392" s="220" t="n">
        <x:v>46259</x:v>
      </x:c>
      <x:c r="B392" s="170" t="str">
        <x:v>Chest</x:v>
      </x:c>
      <x:c r="C392" s="170" t="str">
        <x:v>Flat Bench Press</x:v>
      </x:c>
      <x:c r="D392" s="170" t="n">
        <x:v>2</x:v>
      </x:c>
      <x:c r="E392" s="170" t="n">
        <x:v>20</x:v>
      </x:c>
      <x:c r="F392" s="170" t="str">
        <x:v>kg plates each side; bar excluded</x:v>
      </x:c>
      <x:c r="G392" s="170" t="n">
        <x:v>10</x:v>
      </x:c>
      <x:c r="H392" s="170" t="str">
        <x:v>No assistance or technique breakdown reported; detailed form To verify</x:v>
      </x:c>
      <x:c r="I392" s="170" t="str">
        <x:v>No chest, shoulder, elbow or wrist pain; strong non-painful upper-biceps/arm pump likely pec-deck-related; exact side To verify</x:v>
      </x:c>
      <x:c r="J392" s="170" t="str">
        <x:v>Low final</x:v>
      </x:c>
      <x:c r="K392" s="170" t="str">
        <x:v>Good</x:v>
      </x:c>
      <x:c r="L392" s="170"/>
      <x:c r="M392" s="170" t="str">
        <x:v>Working</x:v>
      </x:c>
      <x:c r="N392" s="170" t="n">
        <x:v>2</x:v>
      </x:c>
    </x:row>
    <x:row r="393">
      <x:c r="A393" s="220" t="n">
        <x:v>46259</x:v>
      </x:c>
      <x:c r="B393" s="170" t="str">
        <x:v>Chest</x:v>
      </x:c>
      <x:c r="C393" s="170" t="str">
        <x:v>Flat Bench Press</x:v>
      </x:c>
      <x:c r="D393" s="170" t="n">
        <x:v>3</x:v>
      </x:c>
      <x:c r="E393" s="170" t="n">
        <x:v>20</x:v>
      </x:c>
      <x:c r="F393" s="170" t="str">
        <x:v>kg plates each side; bar excluded</x:v>
      </x:c>
      <x:c r="G393" s="170" t="n">
        <x:v>10</x:v>
      </x:c>
      <x:c r="H393" s="170" t="str">
        <x:v>Clean and unassisted; detailed bar path To verify</x:v>
      </x:c>
      <x:c r="I393" s="170" t="str">
        <x:v>No chest, shoulder, elbow or wrist pain; strong non-painful upper-biceps/arm pump likely pec-deck-related; exact side To verify</x:v>
      </x:c>
      <x:c r="J393" s="170" t="str">
        <x:v>Low final</x:v>
      </x:c>
      <x:c r="K393" s="170" t="str">
        <x:v>Good</x:v>
      </x:c>
      <x:c r="L393" s="170" t="str">
        <x:v>Repeated 20 kg set at target reserve</x:v>
      </x:c>
      <x:c r="M393" s="170" t="str">
        <x:v>Working</x:v>
      </x:c>
      <x:c r="N393" s="170" t="n">
        <x:v>2</x:v>
      </x:c>
    </x:row>
    <x:row r="394">
      <x:c r="A394" s="220" t="n">
        <x:v>46259</x:v>
      </x:c>
      <x:c r="B394" s="170" t="str">
        <x:v>Chest</x:v>
      </x:c>
      <x:c r="C394" s="170" t="str">
        <x:v>Flat Bench Press</x:v>
      </x:c>
      <x:c r="D394" s="170" t="n">
        <x:v>4</x:v>
      </x:c>
      <x:c r="E394" s="170" t="n">
        <x:v>22.5</x:v>
      </x:c>
      <x:c r="F394" s="170" t="str">
        <x:v>kg plates each side; bar excluded</x:v>
      </x:c>
      <x:c r="G394" s="170" t="n">
        <x:v>8</x:v>
      </x:c>
      <x:c r="H394" s="170" t="str">
        <x:v>Clean and unassisted; reached failure-level effort</x:v>
      </x:c>
      <x:c r="I394" s="170" t="str">
        <x:v>No chest, shoulder, elbow or wrist pain; strong non-painful upper-biceps/arm pump likely pec-deck-related; exact side To verify</x:v>
      </x:c>
      <x:c r="J394" s="170" t="str">
        <x:v>Low final</x:v>
      </x:c>
      <x:c r="K394" s="170" t="str">
        <x:v>Good</x:v>
      </x:c>
      <x:c r="L394" s="170" t="str">
        <x:v>Rep target reached at RIR 0; no progression credit and no load increase</x:v>
      </x:c>
      <x:c r="M394" s="170" t="str">
        <x:v>Working</x:v>
      </x:c>
      <x:c r="N394" s="170" t="n">
        <x:v>0</x:v>
      </x:c>
    </x:row>
    <x:row r="395">
      <x:c r="A395" s="220" t="n">
        <x:v>46259</x:v>
      </x:c>
      <x:c r="B395" s="170" t="str">
        <x:v>Chest</x:v>
      </x:c>
      <x:c r="C395" s="170" t="str">
        <x:v>Incline Barbell Bench Press</x:v>
      </x:c>
      <x:c r="D395" s="170" t="n">
        <x:v>1</x:v>
      </x:c>
      <x:c r="E395" s="170" t="n">
        <x:v>10</x:v>
      </x:c>
      <x:c r="F395" s="170" t="str">
        <x:v>kg plates each side; bar excluded</x:v>
      </x:c>
      <x:c r="G395" s="170" t="n">
        <x:v>15</x:v>
      </x:c>
      <x:c r="H395" s="170" t="str">
        <x:v>No assistance or technique breakdown reported; detailed form To verify</x:v>
      </x:c>
      <x:c r="I395" s="170" t="str">
        <x:v>No chest, shoulder, elbow or wrist pain; strong non-painful upper-biceps/arm pump likely pec-deck-related; exact side To verify</x:v>
      </x:c>
      <x:c r="J395" s="170" t="str">
        <x:v>Low final</x:v>
      </x:c>
      <x:c r="K395" s="170" t="str">
        <x:v>Good</x:v>
      </x:c>
      <x:c r="L395" s="170"/>
      <x:c r="M395" s="170" t="str">
        <x:v>Working</x:v>
      </x:c>
      <x:c r="N395" s="170" t="n">
        <x:v>2</x:v>
      </x:c>
    </x:row>
    <x:row r="396">
      <x:c r="A396" s="220" t="n">
        <x:v>46259</x:v>
      </x:c>
      <x:c r="B396" s="170" t="str">
        <x:v>Chest</x:v>
      </x:c>
      <x:c r="C396" s="170" t="str">
        <x:v>Incline Barbell Bench Press</x:v>
      </x:c>
      <x:c r="D396" s="170" t="n">
        <x:v>2</x:v>
      </x:c>
      <x:c r="E396" s="170" t="n">
        <x:v>12.5</x:v>
      </x:c>
      <x:c r="F396" s="170" t="str">
        <x:v>kg plates each side; bar excluded</x:v>
      </x:c>
      <x:c r="G396" s="170" t="n">
        <x:v>12</x:v>
      </x:c>
      <x:c r="H396" s="170" t="str">
        <x:v>No assistance or technique breakdown reported; detailed form To verify</x:v>
      </x:c>
      <x:c r="I396" s="170" t="str">
        <x:v>No chest, shoulder, elbow or wrist pain; strong non-painful upper-biceps/arm pump likely pec-deck-related; exact side To verify</x:v>
      </x:c>
      <x:c r="J396" s="170" t="str">
        <x:v>Low final</x:v>
      </x:c>
      <x:c r="K396" s="170" t="str">
        <x:v>Good</x:v>
      </x:c>
      <x:c r="L396" s="170"/>
      <x:c r="M396" s="170" t="str">
        <x:v>Working</x:v>
      </x:c>
      <x:c r="N396" s="170" t="n">
        <x:v>2</x:v>
      </x:c>
    </x:row>
    <x:row r="397">
      <x:c r="A397" s="220" t="n">
        <x:v>46259</x:v>
      </x:c>
      <x:c r="B397" s="170" t="str">
        <x:v>Chest</x:v>
      </x:c>
      <x:c r="C397" s="170" t="str">
        <x:v>Incline Barbell Bench Press</x:v>
      </x:c>
      <x:c r="D397" s="170" t="n">
        <x:v>3</x:v>
      </x:c>
      <x:c r="E397" s="170" t="n">
        <x:v>15</x:v>
      </x:c>
      <x:c r="F397" s="170" t="str">
        <x:v>kg plates each side; bar excluded</x:v>
      </x:c>
      <x:c r="G397" s="170" t="n">
        <x:v>10</x:v>
      </x:c>
      <x:c r="H397" s="170" t="str">
        <x:v>Clean and unassisted; controlled bar path To verify</x:v>
      </x:c>
      <x:c r="I397" s="170" t="str">
        <x:v>No chest, shoulder, elbow or wrist pain; strong non-painful upper-biceps/arm pump likely pec-deck-related; exact side To verify</x:v>
      </x:c>
      <x:c r="J397" s="170" t="str">
        <x:v>Low final</x:v>
      </x:c>
      <x:c r="K397" s="170" t="str">
        <x:v>Good</x:v>
      </x:c>
      <x:c r="L397" s="170" t="str">
        <x:v>Rep progression achieved; keep load and improve reserve across session</x:v>
      </x:c>
      <x:c r="M397" s="170" t="str">
        <x:v>Working</x:v>
      </x:c>
      <x:c r="N397" s="170" t="n">
        <x:v>2</x:v>
      </x:c>
    </x:row>
    <x:row r="398">
      <x:c r="A398" s="220" t="n">
        <x:v>46259</x:v>
      </x:c>
      <x:c r="B398" s="170" t="str">
        <x:v>Chest</x:v>
      </x:c>
      <x:c r="C398" s="170" t="str">
        <x:v>Plate Chest Press</x:v>
      </x:c>
      <x:c r="D398" s="170" t="n">
        <x:v>1</x:v>
      </x:c>
      <x:c r="E398" s="170" t="n">
        <x:v>30</x:v>
      </x:c>
      <x:c r="F398" s="170" t="str">
        <x:v>kg plates each side</x:v>
      </x:c>
      <x:c r="G398" s="170" t="n">
        <x:v>15</x:v>
      </x:c>
      <x:c r="H398" s="170" t="str">
        <x:v>No assistance or technique breakdown reported; detailed form To verify</x:v>
      </x:c>
      <x:c r="I398" s="170" t="str">
        <x:v>No chest, shoulder, elbow or wrist pain; strong non-painful upper-biceps/arm pump likely pec-deck-related; exact side To verify</x:v>
      </x:c>
      <x:c r="J398" s="170" t="str">
        <x:v>Low final</x:v>
      </x:c>
      <x:c r="K398" s="170" t="str">
        <x:v>Good</x:v>
      </x:c>
      <x:c r="L398" s="170"/>
      <x:c r="M398" s="170" t="str">
        <x:v>Working</x:v>
      </x:c>
      <x:c r="N398" s="170" t="n">
        <x:v>3</x:v>
      </x:c>
    </x:row>
    <x:row r="399">
      <x:c r="A399" s="220" t="n">
        <x:v>46259</x:v>
      </x:c>
      <x:c r="B399" s="170" t="str">
        <x:v>Chest</x:v>
      </x:c>
      <x:c r="C399" s="170" t="str">
        <x:v>Plate Chest Press</x:v>
      </x:c>
      <x:c r="D399" s="170" t="n">
        <x:v>2</x:v>
      </x:c>
      <x:c r="E399" s="170" t="n">
        <x:v>40</x:v>
      </x:c>
      <x:c r="F399" s="170" t="str">
        <x:v>kg plates each side</x:v>
      </x:c>
      <x:c r="G399" s="170" t="n">
        <x:v>12</x:v>
      </x:c>
      <x:c r="H399" s="170" t="str">
        <x:v>Clean and unassisted; controlled eccentric To verify</x:v>
      </x:c>
      <x:c r="I399" s="170" t="str">
        <x:v>No chest, shoulder, elbow or wrist pain; strong non-painful upper-biceps/arm pump likely pec-deck-related; exact side To verify</x:v>
      </x:c>
      <x:c r="J399" s="170" t="str">
        <x:v>Low final</x:v>
      </x:c>
      <x:c r="K399" s="170" t="str">
        <x:v>Good</x:v>
      </x:c>
      <x:c r="L399" s="170" t="str">
        <x:v>Exceeded repetition target</x:v>
      </x:c>
      <x:c r="M399" s="170" t="str">
        <x:v>Working</x:v>
      </x:c>
      <x:c r="N399" s="170" t="n">
        <x:v>2</x:v>
      </x:c>
    </x:row>
    <x:row r="400">
      <x:c r="A400" s="220" t="n">
        <x:v>46259</x:v>
      </x:c>
      <x:c r="B400" s="170" t="str">
        <x:v>Chest</x:v>
      </x:c>
      <x:c r="C400" s="170" t="str">
        <x:v>Plate Chest Press</x:v>
      </x:c>
      <x:c r="D400" s="170" t="n">
        <x:v>3</x:v>
      </x:c>
      <x:c r="E400" s="170" t="n">
        <x:v>50</x:v>
      </x:c>
      <x:c r="F400" s="170" t="str">
        <x:v>kg plates each side</x:v>
      </x:c>
      <x:c r="G400" s="170" t="n">
        <x:v>8</x:v>
      </x:c>
      <x:c r="H400" s="170" t="str">
        <x:v>Clean and unassisted; controlled eccentric To verify</x:v>
      </x:c>
      <x:c r="I400" s="170" t="str">
        <x:v>No chest, shoulder, elbow or wrist pain; strong non-painful upper-biceps/arm pump likely pec-deck-related; exact side To verify</x:v>
      </x:c>
      <x:c r="J400" s="170" t="str">
        <x:v>Low final</x:v>
      </x:c>
      <x:c r="K400" s="170" t="str">
        <x:v>Good</x:v>
      </x:c>
      <x:c r="L400" s="170" t="str">
        <x:v>Unplanned third set and load jump; retained as fatigue; no progression credit</x:v>
      </x:c>
      <x:c r="M400" s="170" t="str">
        <x:v>Working</x:v>
      </x:c>
      <x:c r="N400" s="170" t="n">
        <x:v>1</x:v>
      </x:c>
    </x:row>
    <x:row r="401">
      <x:c r="A401" s="220" t="n">
        <x:v>46259</x:v>
      </x:c>
      <x:c r="B401" s="170" t="str">
        <x:v>Chest</x:v>
      </x:c>
      <x:c r="C401" s="170" t="str">
        <x:v>Pec Deck Fly</x:v>
      </x:c>
      <x:c r="D401" s="170" t="n">
        <x:v>1</x:v>
      </x:c>
      <x:c r="E401" s="170" t="n">
        <x:v>50</x:v>
      </x:c>
      <x:c r="F401" s="170" t="str">
        <x:v>kg total stack</x:v>
      </x:c>
      <x:c r="G401" s="170" t="n">
        <x:v>12</x:v>
      </x:c>
      <x:c r="H401" s="170" t="str">
        <x:v>Strong upper-biceps/arm pump later attributed to pec deck; non-painful; exact side To verify</x:v>
      </x:c>
      <x:c r="I401" s="170" t="str">
        <x:v>No chest, shoulder, elbow or wrist pain; strong non-painful upper-biceps/arm pump likely pec-deck-related; exact side To verify</x:v>
      </x:c>
      <x:c r="J401" s="170" t="str">
        <x:v>Low final</x:v>
      </x:c>
      <x:c r="K401" s="170" t="str">
        <x:v>Good</x:v>
      </x:c>
      <x:c r="L401" s="170" t="str">
        <x:v>Use relaxed grip and elbow-driven arc next time</x:v>
      </x:c>
      <x:c r="M401" s="170" t="str">
        <x:v>Working</x:v>
      </x:c>
      <x:c r="N401" s="170" t="n">
        <x:v>3</x:v>
      </x:c>
    </x:row>
    <x:row r="402">
      <x:c r="A402" s="220" t="n">
        <x:v>46259</x:v>
      </x:c>
      <x:c r="B402" s="170" t="str">
        <x:v>Chest</x:v>
      </x:c>
      <x:c r="C402" s="170" t="str">
        <x:v>Pec Deck Fly</x:v>
      </x:c>
      <x:c r="D402" s="170" t="n">
        <x:v>2</x:v>
      </x:c>
      <x:c r="E402" s="170" t="n">
        <x:v>55</x:v>
      </x:c>
      <x:c r="F402" s="170" t="str">
        <x:v>kg total stack</x:v>
      </x:c>
      <x:c r="G402" s="170" t="n">
        <x:v>12</x:v>
      </x:c>
      <x:c r="H402" s="170" t="str">
        <x:v>Strong upper-biceps/arm pump later attributed to pec deck; non-painful; exact side To verify</x:v>
      </x:c>
      <x:c r="I402" s="170" t="str">
        <x:v>No chest, shoulder, elbow or wrist pain; strong non-painful upper-biceps/arm pump likely pec-deck-related; exact side To verify</x:v>
      </x:c>
      <x:c r="J402" s="170" t="str">
        <x:v>Low final</x:v>
      </x:c>
      <x:c r="K402" s="170" t="str">
        <x:v>Good</x:v>
      </x:c>
      <x:c r="L402" s="170"/>
      <x:c r="M402" s="170" t="str">
        <x:v>Working</x:v>
      </x:c>
      <x:c r="N402" s="170" t="n">
        <x:v>2</x:v>
      </x:c>
    </x:row>
    <x:row r="403">
      <x:c r="A403" s="220" t="n">
        <x:v>46259</x:v>
      </x:c>
      <x:c r="B403" s="170" t="str">
        <x:v>Chest</x:v>
      </x:c>
      <x:c r="C403" s="170" t="str">
        <x:v>Pec Deck Fly</x:v>
      </x:c>
      <x:c r="D403" s="170" t="n">
        <x:v>3</x:v>
      </x:c>
      <x:c r="E403" s="170" t="n">
        <x:v>60</x:v>
      </x:c>
      <x:c r="F403" s="170" t="str">
        <x:v>kg total stack</x:v>
      </x:c>
      <x:c r="G403" s="170" t="n">
        <x:v>11</x:v>
      </x:c>
      <x:c r="H403" s="170" t="str">
        <x:v>Strong upper-biceps/arm pump later attributed to pec deck; non-painful; exact side To verify</x:v>
      </x:c>
      <x:c r="I403" s="170" t="str">
        <x:v>No chest, shoulder, elbow or wrist pain; strong non-painful upper-biceps/arm pump likely pec-deck-related; exact side To verify</x:v>
      </x:c>
      <x:c r="J403" s="170" t="str">
        <x:v>Low final</x:v>
      </x:c>
      <x:c r="K403" s="170" t="str">
        <x:v>Good</x:v>
      </x:c>
      <x:c r="L403" s="170" t="str">
        <x:v>Unplanned third set; omit 60 kg next time; no progression credit</x:v>
      </x:c>
      <x:c r="M403" s="170" t="str">
        <x:v>Working</x:v>
      </x:c>
      <x:c r="N403" s="170" t="n">
        <x:v>1</x:v>
      </x:c>
    </x:row>
    <x:row r="404">
      <x:c r="A404" s="220" t="n">
        <x:v>46259</x:v>
      </x:c>
      <x:c r="B404" s="170" t="str">
        <x:v>Triceps</x:v>
      </x:c>
      <x:c r="C404" s="170" t="str">
        <x:v>Straight-Bar Pushdown</x:v>
      </x:c>
      <x:c r="D404" s="170" t="n">
        <x:v>1</x:v>
      </x:c>
      <x:c r="E404" s="170" t="n">
        <x:v>45</x:v>
      </x:c>
      <x:c r="F404" s="170" t="str">
        <x:v>kg total stack</x:v>
      </x:c>
      <x:c r="G404" s="170" t="n">
        <x:v>12</x:v>
      </x:c>
      <x:c r="H404" s="170" t="str">
        <x:v>Genuine preparation set; elbows fixed; no assistance</x:v>
      </x:c>
      <x:c r="I404" s="170" t="str">
        <x:v>No chest, shoulder, elbow or wrist pain; strong non-painful upper-biceps/arm pump likely pec-deck-related; exact side To verify</x:v>
      </x:c>
      <x:c r="J404" s="170" t="str">
        <x:v>Low final</x:v>
      </x:c>
      <x:c r="K404" s="170" t="str">
        <x:v>Good</x:v>
      </x:c>
      <x:c r="L404" s="170" t="str">
        <x:v>Excluded from meaningful-set total</x:v>
      </x:c>
      <x:c r="M404" s="170" t="str">
        <x:v>Warm-up</x:v>
      </x:c>
      <x:c r="N404" s="170" t="n">
        <x:v>4</x:v>
      </x:c>
    </x:row>
    <x:row r="405">
      <x:c r="A405" s="220" t="n">
        <x:v>46259</x:v>
      </x:c>
      <x:c r="B405" s="170" t="str">
        <x:v>Triceps</x:v>
      </x:c>
      <x:c r="C405" s="170" t="str">
        <x:v>Straight-Bar Pushdown</x:v>
      </x:c>
      <x:c r="D405" s="170" t="n">
        <x:v>2</x:v>
      </x:c>
      <x:c r="E405" s="170" t="n">
        <x:v>50</x:v>
      </x:c>
      <x:c r="F405" s="170" t="str">
        <x:v>kg total stack</x:v>
      </x:c>
      <x:c r="G405" s="170" t="n">
        <x:v>13</x:v>
      </x:c>
      <x:c r="H405" s="170" t="str">
        <x:v>No assistance or technique breakdown reported; detailed form To verify</x:v>
      </x:c>
      <x:c r="I405" s="170" t="str">
        <x:v>No chest, shoulder, elbow or wrist pain; strong non-painful upper-biceps/arm pump likely pec-deck-related; exact side To verify</x:v>
      </x:c>
      <x:c r="J405" s="170" t="str">
        <x:v>Low final</x:v>
      </x:c>
      <x:c r="K405" s="170" t="str">
        <x:v>Good</x:v>
      </x:c>
      <x:c r="L405" s="170"/>
      <x:c r="M405" s="170" t="str">
        <x:v>Working</x:v>
      </x:c>
      <x:c r="N405" s="170" t="n">
        <x:v>2</x:v>
      </x:c>
    </x:row>
    <x:row r="406">
      <x:c r="A406" s="220" t="n">
        <x:v>46259</x:v>
      </x:c>
      <x:c r="B406" s="170" t="str">
        <x:v>Triceps</x:v>
      </x:c>
      <x:c r="C406" s="170" t="str">
        <x:v>Straight-Bar Pushdown</x:v>
      </x:c>
      <x:c r="D406" s="170" t="n">
        <x:v>3</x:v>
      </x:c>
      <x:c r="E406" s="170" t="n">
        <x:v>55</x:v>
      </x:c>
      <x:c r="F406" s="170" t="str">
        <x:v>kg total stack</x:v>
      </x:c>
      <x:c r="G406" s="170" t="n">
        <x:v>11</x:v>
      </x:c>
      <x:c r="H406" s="170" t="str">
        <x:v>Clean and unassisted; elbows fixed To verify</x:v>
      </x:c>
      <x:c r="I406" s="170" t="str">
        <x:v>No chest, shoulder, elbow or wrist pain; strong non-painful upper-biceps/arm pump likely pec-deck-related; exact side To verify</x:v>
      </x:c>
      <x:c r="J406" s="170" t="str">
        <x:v>Low final</x:v>
      </x:c>
      <x:c r="K406" s="170" t="str">
        <x:v>Good</x:v>
      </x:c>
      <x:c r="L406" s="170" t="str">
        <x:v>Harder than RIR-2 target; keep load</x:v>
      </x:c>
      <x:c r="M406" s="170" t="str">
        <x:v>Working</x:v>
      </x:c>
      <x:c r="N406" s="170" t="n">
        <x:v>1</x:v>
      </x:c>
    </x:row>
    <x:row r="407">
      <x:c r="A407" s="220" t="n">
        <x:v>46259</x:v>
      </x:c>
      <x:c r="B407" s="170" t="str">
        <x:v>Triceps</x:v>
      </x:c>
      <x:c r="C407" s="170" t="str">
        <x:v>Straight-Bar Pushdown</x:v>
      </x:c>
      <x:c r="D407" s="170" t="n">
        <x:v>4</x:v>
      </x:c>
      <x:c r="E407" s="170" t="n">
        <x:v>60</x:v>
      </x:c>
      <x:c r="F407" s="170" t="str">
        <x:v>kg total stack</x:v>
      </x:c>
      <x:c r="G407" s="170" t="n">
        <x:v>9</x:v>
      </x:c>
      <x:c r="H407" s="170" t="str">
        <x:v>Clean and unassisted; elbows fixed To verify</x:v>
      </x:c>
      <x:c r="I407" s="170" t="str">
        <x:v>No chest, shoulder, elbow or wrist pain; strong non-painful upper-biceps/arm pump likely pec-deck-related; exact side To verify</x:v>
      </x:c>
      <x:c r="J407" s="170" t="str">
        <x:v>Low final</x:v>
      </x:c>
      <x:c r="K407" s="170" t="str">
        <x:v>Good</x:v>
      </x:c>
      <x:c r="L407" s="170" t="str">
        <x:v>Matched reps but missed RIR-2 target; keep load</x:v>
      </x:c>
      <x:c r="M407" s="170" t="str">
        <x:v>Working</x:v>
      </x:c>
      <x:c r="N407" s="170" t="n">
        <x:v>1</x:v>
      </x:c>
    </x:row>
    <x:row r="408">
      <x:c r="A408" s="220" t="n">
        <x:v>46259</x:v>
      </x:c>
      <x:c r="B408" s="170" t="str">
        <x:v>Triceps</x:v>
      </x:c>
      <x:c r="C408" s="170" t="str">
        <x:v>Overhead Rope Extension</x:v>
      </x:c>
      <x:c r="D408" s="170" t="n">
        <x:v>1</x:v>
      </x:c>
      <x:c r="E408" s="170" t="n">
        <x:v>30</x:v>
      </x:c>
      <x:c r="F408" s="170" t="str">
        <x:v>kg total stack</x:v>
      </x:c>
      <x:c r="G408" s="170" t="n">
        <x:v>11</x:v>
      </x:c>
      <x:c r="H408" s="170" t="str">
        <x:v>Reported clean; no assistance or technique breakdown</x:v>
      </x:c>
      <x:c r="I408" s="170" t="str">
        <x:v>No chest, shoulder, elbow or wrist pain; strong non-painful upper-biceps/arm pump likely pec-deck-related; exact side To verify</x:v>
      </x:c>
      <x:c r="J408" s="170" t="str">
        <x:v>Low final</x:v>
      </x:c>
      <x:c r="K408" s="170" t="str">
        <x:v>Good</x:v>
      </x:c>
      <x:c r="L408" s="170"/>
      <x:c r="M408" s="170" t="str">
        <x:v>Working</x:v>
      </x:c>
      <x:c r="N408" s="170" t="n">
        <x:v>2</x:v>
      </x:c>
    </x:row>
    <x:row r="409">
      <x:c r="A409" s="220" t="n">
        <x:v>46259</x:v>
      </x:c>
      <x:c r="B409" s="170" t="str">
        <x:v>Triceps</x:v>
      </x:c>
      <x:c r="C409" s="170" t="str">
        <x:v>Overhead Rope Extension</x:v>
      </x:c>
      <x:c r="D409" s="170" t="n">
        <x:v>2</x:v>
      </x:c>
      <x:c r="E409" s="170" t="n">
        <x:v>40</x:v>
      </x:c>
      <x:c r="F409" s="170" t="str">
        <x:v>kg total stack</x:v>
      </x:c>
      <x:c r="G409" s="170" t="n">
        <x:v>9</x:v>
      </x:c>
      <x:c r="H409" s="170" t="str">
        <x:v>Reported clean; no assistance or technique breakdown</x:v>
      </x:c>
      <x:c r="I409" s="170" t="str">
        <x:v>No chest, shoulder, elbow or wrist pain; strong non-painful upper-biceps/arm pump likely pec-deck-related; exact side To verify</x:v>
      </x:c>
      <x:c r="J409" s="170" t="str">
        <x:v>Low final</x:v>
      </x:c>
      <x:c r="K409" s="170" t="str">
        <x:v>Good</x:v>
      </x:c>
      <x:c r="L409" s="170" t="str">
        <x:v>40 kg used instead of prescribed 35 kg</x:v>
      </x:c>
      <x:c r="M409" s="170" t="str">
        <x:v>Working</x:v>
      </x:c>
      <x:c r="N409" s="170" t="n">
        <x:v>2</x:v>
      </x:c>
    </x:row>
    <x:row r="410">
      <x:c r="A410" s="220" t="n">
        <x:v>46259</x:v>
      </x:c>
      <x:c r="B410" s="170" t="str">
        <x:v>Triceps</x:v>
      </x:c>
      <x:c r="C410" s="170" t="str">
        <x:v>Overhead Rope Extension</x:v>
      </x:c>
      <x:c r="D410" s="170" t="n">
        <x:v>3</x:v>
      </x:c>
      <x:c r="E410" s="170" t="n">
        <x:v>45</x:v>
      </x:c>
      <x:c r="F410" s="170" t="str">
        <x:v>kg total stack</x:v>
      </x:c>
      <x:c r="G410" s="170" t="n">
        <x:v>7</x:v>
      </x:c>
      <x:c r="H410" s="170" t="str">
        <x:v>Reported clean; no assistance or technique breakdown</x:v>
      </x:c>
      <x:c r="I410" s="170" t="str">
        <x:v>No chest, shoulder, elbow or wrist pain; strong non-painful upper-biceps/arm pump likely pec-deck-related; exact side To verify</x:v>
      </x:c>
      <x:c r="J410" s="170" t="str">
        <x:v>Low final</x:v>
      </x:c>
      <x:c r="K410" s="170" t="str">
        <x:v>Good</x:v>
      </x:c>
      <x:c r="L410" s="170" t="str">
        <x:v>Unplanned third set after explicit two-set limit; no progression credit</x:v>
      </x:c>
      <x:c r="M410" s="170" t="str">
        <x:v>Working</x:v>
      </x:c>
      <x:c r="N410" s="170" t="n">
        <x:v>1</x:v>
      </x:c>
    </x:row>
  </x:sheetData>
  <x:mergeCells>
    <x:mergeCell ref="A1:L2"/>
    <x:mergeCell ref="A3:N3"/>
  </x:mergeCells>
  <x:conditionalFormatting sqref="I5:I65">
    <x:cfRule type="expression" dxfId="2" priority="1">
      <x:formula>LEN(I5)&gt;0</x:formula>
    </x:cfRule>
  </x:conditionalFormatting>
  <x:dataValidations count="6">
    <x:dataValidation type="list" sqref="M5:M89">
      <x:formula1>"Warm-up,Working,Back-off,Drop,Assisted,Not recorded"</x:formula1>
    </x:dataValidation>
    <x:dataValidation type="list" sqref="N5:N89">
      <x:formula1>"0,1,2,3,4+,Not recorded"</x:formula1>
    </x:dataValidation>
    <x:dataValidation type="list" sqref="M5:M109">
      <x:formula1>"Warm-up,Working,Back-off,Drop set,Not recorded"</x:formula1>
    </x:dataValidation>
    <x:dataValidation type="list" sqref="N5:N109">
      <x:formula1>"0,1,2,3,4+,Not recorded"</x:formula1>
    </x:dataValidation>
    <x:dataValidation type="list" sqref="M5:M130">
      <x:formula1>"Warm-up,Working,Back-off,Drop set,Not recorded"</x:formula1>
    </x:dataValidation>
    <x:dataValidation type="list" sqref="N5:N130">
      <x:formula1>"0,1,2,3,4+,Not recorded"</x:formula1>
    </x:dataValidation>
  </x:dataValidations>
  <x:pageMargins left="0.7" right="0.7" top="0.75" bottom="0.75" header="0.3" footer="0.3"/>
  <x:tableParts count="1">
    <x:tablePart xmlns:r="http://schemas.openxmlformats.org/officeDocument/2006/relationships" r:id="Rdce32aa422314668"/>
  </x:tableParts>
</x:worksheet>
</file>

<file path=xl/worksheets/sheet4.xml><?xml version="1.0" encoding="utf-8"?>
<x:worksheet xmlns:x="http://schemas.openxmlformats.org/spreadsheetml/2006/main">
  <x:sheetFormatPr baseColWidth="8" defaultRowHeight="15"/>
  <x:cols>
    <x:col min="1" max="1" width="12" customWidth="1"/>
    <x:col min="2" max="2" width="26" customWidth="1"/>
    <x:col min="3" max="3" width="24" customWidth="1"/>
    <x:col min="4" max="4" width="24" customWidth="1"/>
    <x:col min="5" max="5" width="24" customWidth="1"/>
    <x:col min="6" max="6" width="20" customWidth="1"/>
    <x:col min="7" max="7" width="24" customWidth="1"/>
    <x:col min="8" max="8" width="14" customWidth="1"/>
    <x:col min="9" max="9" width="28" customWidth="1"/>
  </x:cols>
  <x:sheetData>
    <x:row r="1">
      <x:c r="A1" s="89" t="inlineStr">
        <x:is>
          <x:t xml:space="preserve">Exercise Targets &amp; Coaching Notes</x:t>
        </x:is>
      </x:c>
      <x:c r="B1" s="53" t="n"/>
      <x:c r="C1" s="53" t="n"/>
      <x:c r="D1" s="53" t="n"/>
      <x:c r="E1" s="53" t="n"/>
      <x:c r="F1" s="53" t="n"/>
      <x:c r="G1" s="53" t="n"/>
      <x:c r="H1" s="53" t="n"/>
      <x:c r="I1" s="53" t="n"/>
    </x:row>
    <x:row r="2">
      <x:c r="A2" s="53" t="n"/>
      <x:c r="B2" s="53" t="n"/>
      <x:c r="C2" s="53" t="n"/>
      <x:c r="D2" s="53" t="n"/>
      <x:c r="E2" s="53" t="n"/>
      <x:c r="F2" s="53" t="n"/>
      <x:c r="G2" s="53" t="n"/>
      <x:c r="H2" s="53" t="n"/>
      <x:c r="I2" s="53" t="n"/>
    </x:row>
    <x:row r="3">
      <x:c r="A3" s="59" t="n"/>
      <x:c r="B3" s="59" t="n"/>
      <x:c r="C3" s="59" t="n"/>
      <x:c r="D3" s="59" t="n"/>
      <x:c r="E3" s="59" t="n"/>
      <x:c r="F3" s="59" t="n"/>
      <x:c r="G3" s="59" t="n"/>
      <x:c r="H3" s="59" t="n"/>
      <x:c r="I3" s="59" t="n"/>
    </x:row>
    <x:row r="4" ht="15" hidden="0" customHeight="1">
      <x:c r="A4" s="219" t="inlineStr">
        <x:is>
          <x:t xml:space="preserve">Muscle</x:t>
        </x:is>
      </x:c>
      <x:c r="B4" s="219" t="inlineStr">
        <x:is>
          <x:t xml:space="preserve">Exercise</x:t>
        </x:is>
      </x:c>
      <x:c r="C4" s="219" t="inlineStr">
        <x:is>
          <x:t xml:space="preserve">Current Best Set</x:t>
        </x:is>
      </x:c>
      <x:c r="D4" s="219" t="inlineStr">
        <x:is>
          <x:t xml:space="preserve">Current Working Zone</x:t>
        </x:is>
      </x:c>
      <x:c r="E4" s="219" t="inlineStr">
        <x:is>
          <x:t xml:space="preserve">Next Target</x:t>
        </x:is>
      </x:c>
      <x:c r="F4" s="219" t="inlineStr">
        <x:is>
          <x:t xml:space="preserve">Progress Rule</x:t>
        </x:is>
      </x:c>
      <x:c r="G4" s="219" t="inlineStr">
        <x:is>
          <x:t xml:space="preserve">Technique Focus</x:t>
        </x:is>
      </x:c>
      <x:c r="H4" s="219" t="inlineStr">
        <x:is>
          <x:t xml:space="preserve">Status</x:t>
        </x:is>
      </x:c>
      <x:c r="I4" s="219" t="inlineStr">
        <x:is>
          <x:t xml:space="preserve">Notes</x:t>
        </x:is>
      </x:c>
    </x:row>
    <x:row r="5" ht="15" hidden="0" customHeight="1">
      <x:c r="A5" s="222" t="str">
        <x:v>Back</x:v>
      </x:c>
      <x:c r="B5" s="222" t="str">
        <x:v>Lat Pulldown</x:v>
      </x:c>
      <x:c r="C5" s="222" t="str">
        <x:v>60 kg x 9 @ RIR 2</x:v>
      </x:c>
      <x:c r="D5" s="222" t="str">
        <x:v>50-60 kg</x:v>
      </x:c>
      <x:c r="E5" s="222" t="str">
        <x:v>60 kg x 9-10 @ RIR 2</x:v>
      </x:c>
      <x:c r="F5" s="222" t="str">
        <x:v>Improve reserve before load</x:v>
      </x:c>
      <x:c r="G5" s="222" t="str">
        <x:v>Elbows down; no swinging</x:v>
      </x:c>
      <x:c r="H5" s="222" t="str">
        <x:v>In progress</x:v>
      </x:c>
      <x:c r="I5" s="222" t="str">
        <x:v>45 kg preparation reached RIR 3; 50-60 kg progressed</x:v>
      </x:c>
    </x:row>
    <x:row r="6" ht="15" hidden="0" customHeight="1">
      <x:c r="A6" s="222" t="str">
        <x:v>Back</x:v>
      </x:c>
      <x:c r="B6" s="222" t="str">
        <x:v>Seated Cable Row</x:v>
      </x:c>
      <x:c r="C6" s="222" t="str">
        <x:v>60 kg x 10 @ RIR 1</x:v>
      </x:c>
      <x:c r="D6" s="222" t="str">
        <x:v>50-60 kg</x:v>
      </x:c>
      <x:c r="E6" s="222" t="str">
        <x:v>60 kg x 10 @ RIR 2</x:v>
      </x:c>
      <x:c r="F6" s="222" t="str">
        <x:v>Match reps with better reserve</x:v>
      </x:c>
      <x:c r="G6" s="222" t="str">
        <x:v>Torso stable</x:v>
      </x:c>
      <x:c r="H6" s="222" t="str">
        <x:v>Modify effort</x:v>
      </x:c>
      <x:c r="I6" s="222" t="str">
        <x:v>55 kg reserve improved; top set too close to failure</x:v>
      </x:c>
    </x:row>
    <x:row r="7" ht="24" hidden="0" customHeight="1">
      <x:c r="A7" s="222" t="str">
        <x:v>Back</x:v>
      </x:c>
      <x:c r="B7" s="222" t="str">
        <x:v>Chest-Supported Row</x:v>
      </x:c>
      <x:c r="C7" s="222" t="str">
        <x:v>60 kg/side x 11 @ RIR 3</x:v>
      </x:c>
      <x:c r="D7" s="222" t="str">
        <x:v>40-60 kg/side</x:v>
      </x:c>
      <x:c r="E7" s="222" t="str">
        <x:v>60 kg/side x 12 @ RIR 2-3</x:v>
      </x:c>
      <x:c r="F7" s="222" t="str">
        <x:v>Add one clean rep</x:v>
      </x:c>
      <x:c r="G7" s="222" t="str">
        <x:v>Chest stays on pad</x:v>
      </x:c>
      <x:c r="H7" s="222" t="str">
        <x:v>In progress</x:v>
      </x:c>
      <x:c r="I7" s="222" t="str">
        <x:v>40 kg reps and reserve across top sets improved</x:v>
      </x:c>
    </x:row>
    <x:row r="8" ht="15" hidden="0" customHeight="1">
      <x:c r="A8" s="222" t="str">
        <x:v>Back</x:v>
      </x:c>
      <x:c r="B8" s="222" t="str">
        <x:v>Straight-Arm Pulldown</x:v>
      </x:c>
      <x:c r="C8" s="222" t="str">
        <x:v>50 kg x 12 @ RIR 2; extra 55 kg x 9 @ RIR 1</x:v>
      </x:c>
      <x:c r="D8" s="222" t="str">
        <x:v>45-50 kg</x:v>
      </x:c>
      <x:c r="E8" s="222" t="str">
        <x:v>50 kg x 12 @ RIR 2</x:v>
      </x:c>
      <x:c r="F8" s="222" t="str">
        <x:v>Exactly 2 sets; no 55 kg</x:v>
      </x:c>
      <x:c r="G8" s="222" t="str">
        <x:v>Elbows fixed</x:v>
      </x:c>
      <x:c r="H8" s="222" t="str">
        <x:v>Modify volume</x:v>
      </x:c>
      <x:c r="I8" s="222" t="str">
        <x:v>55 kg was unplanned fatigue and receives no progression credit</x:v>
      </x:c>
    </x:row>
    <x:row r="9" ht="40" hidden="0" customHeight="1">
      <x:c r="A9" s="222" t="str">
        <x:v>Chest</x:v>
      </x:c>
      <x:c r="B9" s="222" t="str">
        <x:v>Flat Bench Press</x:v>
      </x:c>
      <x:c r="C9" s="222" t="str">
        <x:v>22.5 kg/side x 8 @ RIR 0</x:v>
      </x:c>
      <x:c r="D9" s="222" t="str">
        <x:v>17.5-22.5 kg/side</x:v>
      </x:c>
      <x:c r="E9" s="222" t="str">
        <x:v>22.5 kg/side x 8 @ RIR 1-2</x:v>
      </x:c>
      <x:c r="F9" s="222" t="str">
        <x:v>No failure; improve reserve</x:v>
      </x:c>
      <x:c r="G9" s="222" t="str">
        <x:v>Shoulder blades set; genuine prep near RIR 5</x:v>
      </x:c>
      <x:c r="H9" s="222" t="str">
        <x:v>Modify effort</x:v>
      </x:c>
      <x:c r="I9" s="222" t="str">
        <x:v>15 kg x 15 counted as fatigue; top set reached RIR 0; bar excluded</x:v>
      </x:c>
    </x:row>
    <x:row r="10" ht="40" hidden="0" customHeight="1">
      <x:c r="A10" s="222" t="str">
        <x:v>Chest</x:v>
      </x:c>
      <x:c r="B10" s="222" t="str">
        <x:v>Incline DB Press</x:v>
      </x:c>
      <x:c r="C10" s="222" t="str">
        <x:v>22.5 kg × 8</x:v>
      </x:c>
      <x:c r="D10" s="222" t="str">
        <x:v>20–22.5 kg</x:v>
      </x:c>
      <x:c r="E10" s="222" t="str">
        <x:v>22.5 kg × 9–10</x:v>
      </x:c>
      <x:c r="F10" s="222" t="str">
        <x:v>Add reps first</x:v>
      </x:c>
      <x:c r="G10" s="222" t="str">
        <x:v>Bench 30–45°</x:v>
      </x:c>
      <x:c r="H10" s="222" t="str">
        <x:v>In progress</x:v>
      </x:c>
      <x:c r="I10" s="222" t="str">
        <x:v>Each dumbbell</x:v>
      </x:c>
    </x:row>
    <x:row r="11" ht="40" hidden="0" customHeight="1">
      <x:c r="A11" s="222" t="str">
        <x:v>Chest</x:v>
      </x:c>
      <x:c r="B11" s="222" t="str">
        <x:v>Plate Chest Press</x:v>
      </x:c>
      <x:c r="C11" s="222" t="str">
        <x:v>50 kg/side x 8 @ RIR 1 unplanned</x:v>
      </x:c>
      <x:c r="D11" s="222" t="str">
        <x:v>30-45 kg/side</x:v>
      </x:c>
      <x:c r="E11" s="222" t="str">
        <x:v>45 kg/side x 9-10 @ RIR 2</x:v>
      </x:c>
      <x:c r="F11" s="222" t="str">
        <x:v>Do not use 50 kg yet</x:v>
      </x:c>
      <x:c r="G11" s="222" t="str">
        <x:v>Controlled eccentric</x:v>
      </x:c>
      <x:c r="H11" s="222" t="str">
        <x:v>Modify load/volume</x:v>
      </x:c>
      <x:c r="I11" s="222" t="str">
        <x:v>50 kg was an unplanned third set and receives no progression credit</x:v>
      </x:c>
    </x:row>
    <x:row r="12" ht="40" hidden="0" customHeight="1">
      <x:c r="A12" s="222" t="str">
        <x:v>Chest</x:v>
      </x:c>
      <x:c r="B12" s="222" t="str">
        <x:v>Cable Fly</x:v>
      </x:c>
      <x:c r="C12" s="222" t="str">
        <x:v>25 kg/side x 12 @ RIR 2</x:v>
      </x:c>
      <x:c r="D12" s="222" t="str">
        <x:v>20-25 kg/side</x:v>
      </x:c>
      <x:c r="E12" s="222" t="str">
        <x:v>25 kg/side x 12 for 2 sets @ RIR 2</x:v>
      </x:c>
      <x:c r="F12" s="222" t="str">
        <x:v>Remove 15 kg working set; build second top set</x:v>
      </x:c>
      <x:c r="G12" s="222" t="str">
        <x:v>Soft elbow bend; hugging arc</x:v>
      </x:c>
      <x:c r="H12" s="222" t="str">
        <x:v>In progress</x:v>
      </x:c>
      <x:c r="I12" s="222" t="str">
        <x:v>20 kg x 15-18 @ RIR 3, then two 25 kg sets</x:v>
      </x:c>
    </x:row>
    <x:row r="13" ht="40" hidden="0" customHeight="1">
      <x:c r="A13" s="222" t="str">
        <x:v>Chest</x:v>
      </x:c>
      <x:c r="B13" s="222" t="str">
        <x:v>Pec Deck Fly</x:v>
      </x:c>
      <x:c r="C13" s="222" t="str">
        <x:v>60 kg x 11 @ RIR 1 unplanned</x:v>
      </x:c>
      <x:c r="D13" s="222" t="str">
        <x:v>45-55 kg</x:v>
      </x:c>
      <x:c r="E13" s="222" t="str">
        <x:v>55 kg x 12 @ RIR 2</x:v>
      </x:c>
      <x:c r="F13" s="222" t="str">
        <x:v>Omit 60 kg; monitor biceps pump</x:v>
      </x:c>
      <x:c r="G13" s="222" t="str">
        <x:v>Relax grip; fixed soft elbow; drive elbows</x:v>
      </x:c>
      <x:c r="H13" s="222" t="str">
        <x:v>Modify technique/volume</x:v>
      </x:c>
      <x:c r="I13" s="222" t="str">
        <x:v>Strong non-painful upper-biceps pump likely related; exact side To verify</x:v>
      </x:c>
    </x:row>
    <x:row r="14" ht="15" hidden="0" customHeight="1">
      <x:c r="A14" s="222" t="str">
        <x:v>Biceps</x:v>
      </x:c>
      <x:c r="B14" s="222" t="str">
        <x:v>EZ Bar Curl</x:v>
      </x:c>
      <x:c r="C14" s="222" t="str">
        <x:v>15 kg/side × 7</x:v>
      </x:c>
      <x:c r="D14" s="222" t="str">
        <x:v>12.5–15 kg/side</x:v>
      </x:c>
      <x:c r="E14" s="222" t="str">
        <x:v>15 kg/side × 8</x:v>
      </x:c>
      <x:c r="F14" s="222" t="str">
        <x:v>Add reps first</x:v>
      </x:c>
      <x:c r="G14" s="222" t="str">
        <x:v>No body swing</x:v>
      </x:c>
      <x:c r="H14" s="222" t="str">
        <x:v>In progress</x:v>
      </x:c>
      <x:c r="I14" s="222"/>
    </x:row>
    <x:row r="15" ht="15" hidden="0" customHeight="1">
      <x:c r="A15" s="222" t="str">
        <x:v>Biceps</x:v>
      </x:c>
      <x:c r="B15" s="222" t="str">
        <x:v>Hammer Curl</x:v>
      </x:c>
      <x:c r="C15" s="222" t="str">
        <x:v>17.5 kg each x 11 @ RIR 2</x:v>
      </x:c>
      <x:c r="D15" s="222" t="str">
        <x:v>12.5-17.5 kg each</x:v>
      </x:c>
      <x:c r="E15" s="222" t="str">
        <x:v>17.5 kg each x 12 @ RIR 2</x:v>
      </x:c>
      <x:c r="F15" s="222" t="str">
        <x:v>Add one rep; no extra sets</x:v>
      </x:c>
      <x:c r="G15" s="222" t="str">
        <x:v>Neutral wrists; no swing</x:v>
      </x:c>
      <x:c r="H15" s="222" t="str">
        <x:v>In progress</x:v>
      </x:c>
      <x:c r="I15" s="222" t="str">
        <x:v>All 3 sets controlled but last 2 exceeded live one-set limit</x:v>
      </x:c>
    </x:row>
    <x:row r="16" ht="15" hidden="0" customHeight="1">
      <x:c r="A16" s="222" t="str">
        <x:v>Biceps</x:v>
      </x:c>
      <x:c r="B16" s="222" t="str">
        <x:v>Plate Curl Machine</x:v>
      </x:c>
      <x:c r="C16" s="222" t="str">
        <x:v>12.5 kg/side x 10 @ RIR 2</x:v>
      </x:c>
      <x:c r="D16" s="222" t="str">
        <x:v>7.5-12.5 kg/side</x:v>
      </x:c>
      <x:c r="E16" s="222" t="str">
        <x:v>12.5 kg/side x 11 @ RIR 2</x:v>
      </x:c>
      <x:c r="F16" s="222" t="str">
        <x:v>Add clean rep</x:v>
      </x:c>
      <x:c r="G16" s="222" t="str">
        <x:v>Upper arm fixed</x:v>
      </x:c>
      <x:c r="H16" s="222" t="str">
        <x:v>In progress</x:v>
      </x:c>
      <x:c r="I16" s="222" t="str">
        <x:v>Plates each side</x:v>
      </x:c>
    </x:row>
    <x:row r="17" ht="15" hidden="0" customHeight="1">
      <x:c r="A17" s="222" t="str">
        <x:v>Biceps</x:v>
      </x:c>
      <x:c r="B17" s="222" t="str">
        <x:v>Cable Curl</x:v>
      </x:c>
      <x:c r="C17" s="222" t="str">
        <x:v>40 kg x 10 @ RIR 1</x:v>
      </x:c>
      <x:c r="D17" s="222" t="str">
        <x:v>Historical baseline</x:v>
      </x:c>
      <x:c r="E17" s="222" t="str">
        <x:v>Not in active sequence</x:v>
      </x:c>
      <x:c r="F17" s="222" t="str">
        <x:v>Preserve history</x:v>
      </x:c>
      <x:c r="G17" s="222" t="str">
        <x:v>Elbows close</x:v>
      </x:c>
      <x:c r="H17" s="222" t="str">
        <x:v>Replaced</x:v>
      </x:c>
      <x:c r="I17" s="222" t="str">
        <x:v>Incline Dumbbell Curl now occupies this active slot</x:v>
      </x:c>
    </x:row>
    <x:row r="18" ht="15" hidden="0" customHeight="1">
      <x:c r="A18" s="222" t="str">
        <x:v>Biceps</x:v>
      </x:c>
      <x:c r="B18" s="222" t="str">
        <x:v>Reverse EZ Curl</x:v>
      </x:c>
      <x:c r="C18" s="222" t="str">
        <x:v>10 kg/side x 11 @ RIR 1</x:v>
      </x:c>
      <x:c r="D18" s="222" t="str">
        <x:v>5-10 kg/side</x:v>
      </x:c>
      <x:c r="E18" s="222" t="str">
        <x:v>10 kg/side x 11 @ RIR 2</x:v>
      </x:c>
      <x:c r="F18" s="222" t="str">
        <x:v>Improve reserve</x:v>
      </x:c>
      <x:c r="G18" s="222" t="str">
        <x:v>Wrists neutral</x:v>
      </x:c>
      <x:c r="H18" s="222" t="str">
        <x:v>Modify effort</x:v>
      </x:c>
      <x:c r="I18" s="222" t="str">
        <x:v>Bar excluded; only 2 sets used to preserve session cap</x:v>
      </x:c>
    </x:row>
    <x:row r="19" ht="15" hidden="0" customHeight="1">
      <x:c r="A19" s="222" t="str">
        <x:v>Biceps</x:v>
      </x:c>
      <x:c r="B19" s="222" t="str">
        <x:v>Concentration Curl</x:v>
      </x:c>
      <x:c r="C19" s="222" t="str">
        <x:v>12.5 kg each x 10 @ RIR 1</x:v>
      </x:c>
      <x:c r="D19" s="222" t="str">
        <x:v>7.5-12.5 kg each</x:v>
      </x:c>
      <x:c r="E19" s="222" t="str">
        <x:v>12.5 kg each x 10 @ RIR 2</x:v>
      </x:c>
      <x:c r="F19" s="222" t="str">
        <x:v>Improve reserve; no failure</x:v>
      </x:c>
      <x:c r="G19" s="222" t="str">
        <x:v>Elbow fixed; no swing</x:v>
      </x:c>
      <x:c r="H19" s="222" t="str">
        <x:v>Modify effort</x:v>
      </x:c>
      <x:c r="I19" s="222" t="str">
        <x:v>Clean and controlled; exactly 3 sets next time</x:v>
      </x:c>
    </x:row>
    <x:row r="20" ht="48" hidden="0" customHeight="1">
      <x:c r="A20" s="169" t="str">
        <x:v>Legs</x:v>
      </x:c>
      <x:c r="B20" s="169" t="str">
        <x:v>Hack Squat</x:v>
      </x:c>
      <x:c r="C20" s="169" t="str">
        <x:v>65 kg/side x 10 @ RIR 2</x:v>
      </x:c>
      <x:c r="D20" s="169" t="str">
        <x:v>35-65 kg/side</x:v>
      </x:c>
      <x:c r="E20" s="169" t="str">
        <x:v>65 kg/side x 10 @ RIR 2</x:v>
      </x:c>
      <x:c r="F20" s="169" t="str">
        <x:v>Improve reserve; no load increase</x:v>
      </x:c>
      <x:c r="G20" s="169" t="str">
        <x:v>Controlled depth; knees track toes</x:v>
      </x:c>
      <x:c r="H20" s="169" t="str">
        <x:v>In progress</x:v>
      </x:c>
      <x:c r="I20" s="169" t="str">
        <x:v>Check hip before loading; progressed cleanly on 2026-08-20</x:v>
      </x:c>
    </x:row>
    <x:row r="21" ht="48" hidden="0" customHeight="1">
      <x:c r="A21" s="169" t="str">
        <x:v>Legs</x:v>
      </x:c>
      <x:c r="B21" s="169" t="str">
        <x:v>Leg Press</x:v>
      </x:c>
      <x:c r="C21" s="169" t="str">
        <x:v>150 kg x 7 total @ RIR 1; approx. 2-3 assisted</x:v>
      </x:c>
      <x:c r="D21" s="169" t="str">
        <x:v>100-130 kg total</x:v>
      </x:c>
      <x:c r="E21" s="169" t="str">
        <x:v>130 kg x 9-10 @ RIR 2</x:v>
      </x:c>
      <x:c r="F21" s="169" t="str">
        <x:v>Clean reps only; omit 150 kg</x:v>
      </x:c>
      <x:c r="G21" s="169" t="str">
        <x:v>No hand assistance; controlled depth</x:v>
      </x:c>
      <x:c r="H21" s="169" t="str">
        <x:v>Modify effort</x:v>
      </x:c>
      <x:c r="I21" s="169" t="str">
        <x:v>Approx. 4-5 clean reps at 150 kg To verify; hip pain follow-up required</x:v>
      </x:c>
    </x:row>
    <x:row r="22" ht="48" hidden="0" customHeight="1">
      <x:c r="A22" s="169" t="str">
        <x:v>Legs</x:v>
      </x:c>
      <x:c r="B22" s="169" t="str">
        <x:v>Leg Extension</x:v>
      </x:c>
      <x:c r="C22" s="169" t="str">
        <x:v>50 kg x 11 @ RIR 1</x:v>
      </x:c>
      <x:c r="D22" s="169" t="str">
        <x:v>40-50 kg</x:v>
      </x:c>
      <x:c r="E22" s="169" t="str">
        <x:v>50 kg x 10-11 @ RIR 2</x:v>
      </x:c>
      <x:c r="F22" s="169" t="str">
        <x:v>Improve reserve before load</x:v>
      </x:c>
      <x:c r="G22" s="169" t="str">
        <x:v>Controlled lockout; no momentum</x:v>
      </x:c>
      <x:c r="H22" s="169" t="str">
        <x:v>In progress</x:v>
      </x:c>
      <x:c r="I22" s="169" t="str">
        <x:v>Progressed reps on 2026-08-20</x:v>
      </x:c>
    </x:row>
    <x:row r="23" ht="48" hidden="0" customHeight="1">
      <x:c r="A23" s="169" t="str">
        <x:v>Legs</x:v>
      </x:c>
      <x:c r="B23" s="169" t="str">
        <x:v>Leg Curl</x:v>
      </x:c>
      <x:c r="C23" s="169" t="str">
        <x:v>35 kg x 9 @ RIR 0</x:v>
      </x:c>
      <x:c r="D23" s="169" t="str">
        <x:v>30-35 kg</x:v>
      </x:c>
      <x:c r="E23" s="169" t="str">
        <x:v>30 kg x 12 @ RIR 2</x:v>
      </x:c>
      <x:c r="F23" s="169" t="str">
        <x:v>Reduce failure exposure</x:v>
      </x:c>
      <x:c r="G23" s="169" t="str">
        <x:v>Full range; hips down</x:v>
      </x:c>
      <x:c r="H23" s="169" t="str">
        <x:v>Modify effort</x:v>
      </x:c>
      <x:c r="I23" s="169" t="str">
        <x:v>Full range at 35 kg remains To verify</x:v>
      </x:c>
    </x:row>
    <x:row r="24" ht="48" hidden="0" customHeight="1">
      <x:c r="A24" s="169" t="str">
        <x:v>Legs</x:v>
      </x:c>
      <x:c r="B24" s="169" t="str">
        <x:v>Abductor Machine</x:v>
      </x:c>
      <x:c r="C24" s="169" t="str">
        <x:v>60 kg x 12 @ RIR 2</x:v>
      </x:c>
      <x:c r="D24" s="169" t="str">
        <x:v>50-60 kg</x:v>
      </x:c>
      <x:c r="E24" s="169" t="str">
        <x:v>60 kg x 13-15 @ RIR 2</x:v>
      </x:c>
      <x:c r="F24" s="169" t="str">
        <x:v>Add reps first</x:v>
      </x:c>
      <x:c r="G24" s="169" t="str">
        <x:v>Controlled</x:v>
      </x:c>
      <x:c r="H24" s="169" t="str">
        <x:v>In progress</x:v>
      </x:c>
      <x:c r="I24" s="169"/>
    </x:row>
    <x:row r="25" ht="48" hidden="0" customHeight="1">
      <x:c r="A25" s="169" t="str">
        <x:v>Legs</x:v>
      </x:c>
      <x:c r="B25" s="169" t="str">
        <x:v>Adductor Machine</x:v>
      </x:c>
      <x:c r="C25" s="169" t="str">
        <x:v>50 kg x 10 @ RIR 1</x:v>
      </x:c>
      <x:c r="D25" s="169" t="str">
        <x:v>40-50 kg</x:v>
      </x:c>
      <x:c r="E25" s="169" t="str">
        <x:v>50 kg x 10 @ RIR 2</x:v>
      </x:c>
      <x:c r="F25" s="169" t="str">
        <x:v>Improve reserve</x:v>
      </x:c>
      <x:c r="G25" s="169" t="str">
        <x:v>Controlled squeeze</x:v>
      </x:c>
      <x:c r="H25" s="169" t="str">
        <x:v>In progress</x:v>
      </x:c>
      <x:c r="I25" s="169"/>
    </x:row>
    <x:row r="26" ht="48" hidden="0" customHeight="1">
      <x:c r="A26" s="169" t="str">
        <x:v>Legs</x:v>
      </x:c>
      <x:c r="B26" s="169" t="str">
        <x:v>Standing Calf Raise</x:v>
      </x:c>
      <x:c r="C26" s="169" t="str">
        <x:v>+20 kg/side x 16 @ RIR 2</x:v>
      </x:c>
      <x:c r="D26" s="169" t="str">
        <x:v>+10 to +20 kg/side</x:v>
      </x:c>
      <x:c r="E26" s="169" t="str">
        <x:v>+20 kg/side x 17 @ RIR 2</x:v>
      </x:c>
      <x:c r="F26" s="169" t="str">
        <x:v>Add clean rep</x:v>
      </x:c>
      <x:c r="G26" s="169" t="str">
        <x:v>Full stretch and top pause</x:v>
      </x:c>
      <x:c r="H26" s="169" t="str">
        <x:v>In progress</x:v>
      </x:c>
      <x:c r="I26" s="169" t="str">
        <x:v>Guided bar excluded from recorded load</x:v>
      </x:c>
    </x:row>
    <x:row r="27" ht="26.399999618530273" hidden="0" customHeight="1">
      <x:c r="A27" s="170" t="str">
        <x:v>Shoulders</x:v>
      </x:c>
      <x:c r="B27" s="170" t="str">
        <x:v>Dumbbell Shoulder Press</x:v>
      </x:c>
      <x:c r="C27" s="170" t="str">
        <x:v>22.5 kg each x 8 @ RIR 1</x:v>
      </x:c>
      <x:c r="D27" s="170" t="str">
        <x:v>17.5-22.5 kg each</x:v>
      </x:c>
      <x:c r="E27" s="170" t="str">
        <x:v>22.5 kg each x 8 @ RIR 2 or 9 @ RIR 1-2</x:v>
      </x:c>
      <x:c r="F27" s="170" t="str">
        <x:v>Improve reserve before load</x:v>
      </x:c>
      <x:c r="G27" s="170" t="str">
        <x:v>Neutral wrist; controlled path</x:v>
      </x:c>
      <x:c r="H27" s="170" t="str">
        <x:v>In progress</x:v>
      </x:c>
      <x:c r="I27" s="170" t="str">
        <x:v>15 kg set is preparation only; 17.5 kg reps and 20 kg reserve improved</x:v>
      </x:c>
    </x:row>
    <x:row r="28" ht="26.399999618530273" hidden="0" customHeight="1">
      <x:c r="A28" s="170" t="str">
        <x:v>Shoulders</x:v>
      </x:c>
      <x:c r="B28" s="170" t="str">
        <x:v>Dumbbell Lateral Raise</x:v>
      </x:c>
      <x:c r="C28" s="170" t="str">
        <x:v>10 kg each x 12 @ RIR 0</x:v>
      </x:c>
      <x:c r="D28" s="170" t="str">
        <x:v>7.5-10 kg each</x:v>
      </x:c>
      <x:c r="E28" s="170" t="str">
        <x:v>7.5 kg each, 3 x 12-15 @ RIR 2</x:v>
      </x:c>
      <x:c r="F28" s="170" t="str">
        <x:v>Reduce failure; own every rep</x:v>
      </x:c>
      <x:c r="G28" s="170" t="str">
        <x:v>No swing or shrug; slow eccentric</x:v>
      </x:c>
      <x:c r="H28" s="170" t="str">
        <x:v>Modify effort</x:v>
      </x:c>
      <x:c r="I28" s="170" t="str">
        <x:v>All four baseline sets reached RIR 0; do not use 12.5 kg yet</x:v>
      </x:c>
    </x:row>
    <x:row r="29" ht="26.399999618530273" hidden="0" customHeight="1">
      <x:c r="A29" s="170" t="str">
        <x:v>Shoulders</x:v>
      </x:c>
      <x:c r="B29" s="170" t="str">
        <x:v>Face Pull</x:v>
      </x:c>
      <x:c r="C29" s="170" t="str">
        <x:v>40 kg x 12 @ RIR 1</x:v>
      </x:c>
      <x:c r="D29" s="170" t="str">
        <x:v>30-40 kg total stack</x:v>
      </x:c>
      <x:c r="E29" s="170" t="str">
        <x:v>40 kg x 13-15 @ RIR 2</x:v>
      </x:c>
      <x:c r="F29" s="170" t="str">
        <x:v>Add controlled reps before load</x:v>
      </x:c>
      <x:c r="G29" s="170" t="str">
        <x:v>Rope to eye/forehead; no lean-back</x:v>
      </x:c>
      <x:c r="H29" s="170" t="str">
        <x:v>In progress</x:v>
      </x:c>
      <x:c r="I29" s="170" t="str">
        <x:v>45 kg x 10 @ RIR 2 only if the path stays clean</x:v>
      </x:c>
    </x:row>
    <x:row r="30" ht="26.399999618530273" hidden="0" customHeight="1">
      <x:c r="A30" s="170" t="str">
        <x:v>Shoulders</x:v>
      </x:c>
      <x:c r="B30" s="170" t="str">
        <x:v>Reverse Pec Deck</x:v>
      </x:c>
      <x:c r="C30" s="170" t="str">
        <x:v>35 kg x 10 @ RIR 3</x:v>
      </x:c>
      <x:c r="D30" s="170" t="str">
        <x:v>25-35 kg</x:v>
      </x:c>
      <x:c r="E30" s="170" t="str">
        <x:v>35 kg x 11-12 @ RIR 2-3</x:v>
      </x:c>
      <x:c r="F30" s="170" t="str">
        <x:v>Add reps with reserve</x:v>
      </x:c>
      <x:c r="G30" s="170" t="str">
        <x:v>Chest on pad; lead elbows</x:v>
      </x:c>
      <x:c r="H30" s="170" t="str">
        <x:v>In progress</x:v>
      </x:c>
      <x:c r="I30" s="170" t="str">
        <x:v>Reserve improved markedly on 2026-08-21</x:v>
      </x:c>
    </x:row>
    <x:row r="31" ht="39.599998474121094" hidden="0" customHeight="1">
      <x:c r="A31" s="170" t="str">
        <x:v>Shoulders</x:v>
      </x:c>
      <x:c r="B31" s="170" t="str">
        <x:v>Single-Arm Cable Lateral Raise</x:v>
      </x:c>
      <x:c r="C31" s="170" t="str">
        <x:v>10 kg x 15 each arm @ RIR 2</x:v>
      </x:c>
      <x:c r="D31" s="170" t="str">
        <x:v>5-10 kg stack</x:v>
      </x:c>
      <x:c r="E31" s="170" t="str">
        <x:v>10 kg x 16 each arm @ RIR 2</x:v>
      </x:c>
      <x:c r="F31" s="170" t="str">
        <x:v>Add reps first</x:v>
      </x:c>
      <x:c r="G31" s="170" t="str">
        <x:v>Raise to shoulder height</x:v>
      </x:c>
      <x:c r="H31" s="170" t="str">
        <x:v>In progress</x:v>
      </x:c>
      <x:c r="I31" s="170" t="str">
        <x:v>Both 10 kg sets progressed from 12 to 15 reps</x:v>
      </x:c>
    </x:row>
    <x:row r="32" ht="26.399999618530273" hidden="0" customHeight="1">
      <x:c r="A32" s="170" t="str">
        <x:v>Shoulders</x:v>
      </x:c>
      <x:c r="B32" s="170" t="str">
        <x:v>Dumbbell Shrugs</x:v>
      </x:c>
      <x:c r="C32" s="170" t="str">
        <x:v>40 kg each x 10 @ RIR 2</x:v>
      </x:c>
      <x:c r="D32" s="170" t="str">
        <x:v>30-40 kg each</x:v>
      </x:c>
      <x:c r="E32" s="170" t="str">
        <x:v>40 kg each x 11-12 @ RIR 2</x:v>
      </x:c>
      <x:c r="F32" s="170" t="str">
        <x:v>Add reps before load</x:v>
      </x:c>
      <x:c r="G32" s="170" t="str">
        <x:v>Vertical shrug; top pause; straight arms</x:v>
      </x:c>
      <x:c r="H32" s="170" t="str">
        <x:v>Active / Preferred</x:v>
      </x:c>
      <x:c r="I32" s="170" t="str">
        <x:v>Use dumbbells or dedicated shrug machine; low-pulley cable shrug produced poor stimulus</x:v>
      </x:c>
    </x:row>
    <x:row r="33" ht="48" hidden="0" customHeight="1">
      <x:c r="A33" s="170" t="str">
        <x:v>Triceps</x:v>
      </x:c>
      <x:c r="B33" s="170" t="str">
        <x:v>Straight-Bar Pushdown</x:v>
      </x:c>
      <x:c r="C33" s="170" t="str">
        <x:v>60 kg x 9 @ RIR 1</x:v>
      </x:c>
      <x:c r="D33" s="170" t="str">
        <x:v>50-60 kg</x:v>
      </x:c>
      <x:c r="E33" s="170" t="str">
        <x:v>60 kg x 9 @ RIR 2</x:v>
      </x:c>
      <x:c r="F33" s="170" t="str">
        <x:v>Exactly 3 working sets; improve reserve</x:v>
      </x:c>
      <x:c r="G33" s="170" t="str">
        <x:v>Elbows fixed; torso still</x:v>
      </x:c>
      <x:c r="H33" s="170" t="str">
        <x:v>Modify effort</x:v>
      </x:c>
      <x:c r="I33" s="170" t="str">
        <x:v>45 kg x 12 @ RIR 4 was preparation; working sets were harder than targets</x:v>
      </x:c>
    </x:row>
    <x:row r="34" ht="48" hidden="0" customHeight="1">
      <x:c r="A34" s="170" t="str">
        <x:v>Triceps</x:v>
      </x:c>
      <x:c r="B34" s="170" t="str">
        <x:v>Rope Pushdown</x:v>
      </x:c>
      <x:c r="C34" s="170" t="str">
        <x:v>40 kg x 11 @ RIR 1 after prior 40 kg set</x:v>
      </x:c>
      <x:c r="D34" s="170" t="str">
        <x:v>30-40 kg</x:v>
      </x:c>
      <x:c r="E34" s="170" t="str">
        <x:v>40 kg x 10-11 @ RIR 2</x:v>
      </x:c>
      <x:c r="F34" s="170" t="str">
        <x:v>Exactly 3 sets; no repeated 40 kg set</x:v>
      </x:c>
      <x:c r="G34" s="170" t="str">
        <x:v>Spread rope; slow return</x:v>
      </x:c>
      <x:c r="H34" s="170" t="str">
        <x:v>Modify volume</x:v>
      </x:c>
      <x:c r="I34" s="170" t="str">
        <x:v>Fourth set exceeded plan; repetition gain does not justify load</x:v>
      </x:c>
    </x:row>
    <x:row r="35" ht="48" hidden="0" customHeight="1">
      <x:c r="A35" s="170" t="str">
        <x:v>Triceps</x:v>
      </x:c>
      <x:c r="B35" s="170" t="str">
        <x:v>Overhead Rope Extension</x:v>
      </x:c>
      <x:c r="C35" s="170" t="str">
        <x:v>45 kg x 7 @ RIR 1 unplanned</x:v>
      </x:c>
      <x:c r="D35" s="170" t="str">
        <x:v>30-40 kg</x:v>
      </x:c>
      <x:c r="E35" s="170" t="str">
        <x:v>40 kg x 9-10 @ RIR 2</x:v>
      </x:c>
      <x:c r="F35" s="170" t="str">
        <x:v>Exactly 3 sets; no 45 kg</x:v>
      </x:c>
      <x:c r="G35" s="170" t="str">
        <x:v>Ribs down; elbows stable</x:v>
      </x:c>
      <x:c r="H35" s="170" t="str">
        <x:v>Modify load/volume</x:v>
      </x:c>
      <x:c r="I35" s="170" t="str">
        <x:v>Third set exceeded live two-set limit and receives no progression credit</x:v>
      </x:c>
    </x:row>
    <x:row r="36" ht="48" hidden="0" customHeight="1">
      <x:c r="A36" s="170" t="str">
        <x:v>Triceps</x:v>
      </x:c>
      <x:c r="B36" s="170" t="str">
        <x:v>Single-Arm Cable Pushdown</x:v>
      </x:c>
      <x:c r="C36" s="170" t="str">
        <x:v>15 kg x 10 each @ RIR 2</x:v>
      </x:c>
      <x:c r="D36" s="170" t="str">
        <x:v>10-15 kg</x:v>
      </x:c>
      <x:c r="E36" s="170" t="str">
        <x:v>15 kg x 10-11 @ RIR 2</x:v>
      </x:c>
      <x:c r="F36" s="170" t="str">
        <x:v>Match both arms; add rep</x:v>
      </x:c>
      <x:c r="G36" s="170" t="str">
        <x:v>Elbow fixed; match weaker side</x:v>
      </x:c>
      <x:c r="H36" s="170" t="str">
        <x:v>In progress</x:v>
      </x:c>
      <x:c r="I36" s="170" t="str">
        <x:v>Side-to-side difference To verify; reserve improved</x:v>
      </x:c>
    </x:row>
    <x:row r="37" ht="48" hidden="0" customHeight="1">
      <x:c r="A37" s="170" t="str">
        <x:v>Triceps</x:v>
      </x:c>
      <x:c r="B37" s="170" t="str">
        <x:v>Seated Two-Hand Overhead Dumbbell Extension</x:v>
      </x:c>
      <x:c r="C37" s="170" t="str">
        <x:v>25 kg x 10 @ RIR 2</x:v>
      </x:c>
      <x:c r="D37" s="170" t="str">
        <x:v>20-25 kg</x:v>
      </x:c>
      <x:c r="E37" s="170" t="str">
        <x:v>25 kg x 11 @ RIR 2</x:v>
      </x:c>
      <x:c r="F37" s="170" t="str">
        <x:v>Exactly 3 sets; add rep before load</x:v>
      </x:c>
      <x:c r="G37" s="170" t="str">
        <x:v>Back supported; ribs down</x:v>
      </x:c>
      <x:c r="H37" s="170" t="str">
        <x:v>In progress</x:v>
      </x:c>
      <x:c r="I37" s="170" t="str">
        <x:v>22.5 kg progressed to 13 reps; completed third set despite live reduction</x:v>
      </x:c>
    </x:row>
    <x:row r="38" ht="48" hidden="0" customHeight="1">
      <x:c r="A38" s="170" t="str">
        <x:v>Triceps</x:v>
      </x:c>
      <x:c r="B38" s="170" t="str">
        <x:v>Assisted Dip Machine</x:v>
      </x:c>
      <x:c r="C38" s="170" t="str">
        <x:v>50 kg assistance x 9 @ RIR 1</x:v>
      </x:c>
      <x:c r="D38" s="170" t="str">
        <x:v>50-70 kg assistance</x:v>
      </x:c>
      <x:c r="E38" s="170" t="str">
        <x:v>50 kg assistance x 9 @ RIR 2</x:v>
      </x:c>
      <x:c r="F38" s="170" t="str">
        <x:v>Improve reserve before less support</x:v>
      </x:c>
      <x:c r="G38" s="170" t="str">
        <x:v>Controlled depth; no forced reps</x:v>
      </x:c>
      <x:c r="H38" s="170" t="str">
        <x:v>Modify effort</x:v>
      </x:c>
      <x:c r="I38" s="170" t="str">
        <x:v>Higher support weight is easier; completed third set despite live reduction</x:v>
      </x:c>
    </x:row>
    <x:row r="39" ht="34" customHeight="1">
      <x:c r="A39" s="170" t="str">
        <x:v>Back</x:v>
      </x:c>
      <x:c r="B39" s="170" t="str">
        <x:v>Iso-Lateral High Row</x:v>
      </x:c>
      <x:c r="C39" s="170" t="str">
        <x:v>20 kg/side x 10 @ RIR 2</x:v>
      </x:c>
      <x:c r="D39" s="170" t="str">
        <x:v>15-20 kg/side</x:v>
      </x:c>
      <x:c r="E39" s="170" t="str">
        <x:v>20 kg/side x 11-12 @ RIR 2</x:v>
      </x:c>
      <x:c r="F39" s="170" t="str">
        <x:v>Add reps first</x:v>
      </x:c>
      <x:c r="G39" s="170" t="str">
        <x:v>Match both sides; chest stable</x:v>
      </x:c>
      <x:c r="H39" s="170" t="str">
        <x:v>In progress</x:v>
      </x:c>
      <x:c r="I39" s="170" t="str">
        <x:v>New 20 kg/side baseline</x:v>
      </x:c>
    </x:row>
    <x:row r="40" ht="34" customHeight="1">
      <x:c r="A40" s="170" t="str">
        <x:v>Back</x:v>
      </x:c>
      <x:c r="B40" s="170" t="str">
        <x:v>Hyperextension</x:v>
      </x:c>
      <x:c r="C40" s="170" t="str">
        <x:v>Body weight +20 kg x 10 @ RIR 0</x:v>
      </x:c>
      <x:c r="D40" s="170" t="str">
        <x:v>Body weight to +10 kg</x:v>
      </x:c>
      <x:c r="E40" s="170" t="str">
        <x:v>+10 kg x 13-15 @ RIR 2</x:v>
      </x:c>
      <x:c r="F40" s="170" t="str">
        <x:v>Reduce fatigue; no +20 kg</x:v>
      </x:c>
      <x:c r="G40" s="170" t="str">
        <x:v>Hip hinge; neutral spine</x:v>
      </x:c>
      <x:c r="H40" s="170" t="str">
        <x:v>Modify effort</x:v>
      </x:c>
      <x:c r="I40" s="170" t="str">
        <x:v>+20 kg required pause and caused lower-back pump</x:v>
      </x:c>
    </x:row>
    <x:row r="41" ht="40" customHeight="1">
      <x:c r="A41" s="170" t="str">
        <x:v>Chest</x:v>
      </x:c>
      <x:c r="B41" s="170" t="str">
        <x:v>Incline Barbell Bench Press</x:v>
      </x:c>
      <x:c r="C41" s="170" t="str">
        <x:v>15 kg/side x 10 @ RIR 2</x:v>
      </x:c>
      <x:c r="D41" s="170" t="str">
        <x:v>10-15 kg/side</x:v>
      </x:c>
      <x:c r="E41" s="170" t="str">
        <x:v>15 kg/side x 10 @ RIR 2</x:v>
      </x:c>
      <x:c r="F41" s="170" t="str">
        <x:v>Keep reps; improve first-set reserve</x:v>
      </x:c>
      <x:c r="G41" s="170" t="str">
        <x:v>Controlled bar path</x:v>
      </x:c>
      <x:c r="H41" s="170" t="str">
        <x:v>In progress</x:v>
      </x:c>
      <x:c r="I41" s="170" t="str">
        <x:v>All three loads progressed; bar excluded</x:v>
      </x:c>
    </x:row>
    <x:row r="42" ht="34" customHeight="1">
      <x:c r="A42" s="170" t="str">
        <x:v>Chest</x:v>
      </x:c>
      <x:c r="B42" s="170" t="str">
        <x:v>Low-to-High Cable Fly</x:v>
      </x:c>
      <x:c r="C42" s="170" t="str">
        <x:v>10 kg/side x 15 @ RIR 3</x:v>
      </x:c>
      <x:c r="D42" s="170" t="str">
        <x:v>5-10 kg/side</x:v>
      </x:c>
      <x:c r="E42" s="170" t="str">
        <x:v>10 kg/side x 16-18 @ RIR 2-3</x:v>
      </x:c>
      <x:c r="F42" s="170" t="str">
        <x:v>Add reps first</x:v>
      </x:c>
      <x:c r="G42" s="170" t="str">
        <x:v>Soft elbow bend; low-to-high arc</x:v>
      </x:c>
      <x:c r="H42" s="170" t="str">
        <x:v>In progress</x:v>
      </x:c>
      <x:c r="I42" s="170" t="str">
        <x:v>Use instead of extra fly volume</x:v>
      </x:c>
    </x:row>
    <x:row r="43" ht="38" customHeight="1">
      <x:c r="A43" s="170" t="str">
        <x:v>Biceps</x:v>
      </x:c>
      <x:c r="B43" s="170" t="str">
        <x:v>Straight Bar Curl</x:v>
      </x:c>
      <x:c r="C43" s="170" t="str">
        <x:v>15 kg/side x 8 @ RIR 2</x:v>
      </x:c>
      <x:c r="D43" s="170" t="str">
        <x:v>10-15 kg/side</x:v>
      </x:c>
      <x:c r="E43" s="170" t="str">
        <x:v>15 kg/side x 9 @ RIR 2</x:v>
      </x:c>
      <x:c r="F43" s="170" t="str">
        <x:v>Exactly 3 working sets; add rep before load</x:v>
      </x:c>
      <x:c r="G43" s="170" t="str">
        <x:v>No body swing</x:v>
      </x:c>
      <x:c r="H43" s="170" t="str">
        <x:v>In progress</x:v>
      </x:c>
      <x:c r="I43" s="170" t="str">
        <x:v>Bar excluded; use genuine preparation separately</x:v>
      </x:c>
    </x:row>
    <x:row r="44" ht="48" customHeight="1">
      <x:c r="A44" s="170" t="str">
        <x:v>Shoulders</x:v>
      </x:c>
      <x:c r="B44" s="170" t="str">
        <x:v>Plate-Loaded Lateral Raise Machine</x:v>
      </x:c>
      <x:c r="C44" s="170" t="str">
        <x:v>5 kg/side x 12 @ RIR 2</x:v>
      </x:c>
      <x:c r="D44" s="170" t="str">
        <x:v>2.5-5 kg/side</x:v>
      </x:c>
      <x:c r="E44" s="170" t="str">
        <x:v>5 kg/side x 13-15 @ RIR 2</x:v>
      </x:c>
      <x:c r="F44" s="170" t="str">
        <x:v>Add reps; maximum 3 sets</x:v>
      </x:c>
      <x:c r="G44" s="170" t="str">
        <x:v>No shrug; controlled eccentric</x:v>
      </x:c>
      <x:c r="H44" s="170" t="str">
        <x:v>In progress</x:v>
      </x:c>
      <x:c r="I44" s="170" t="str">
        <x:v>Unloaded machine resistance excluded and To verify</x:v>
      </x:c>
    </x:row>
    <x:row r="45" ht="48" customHeight="1">
      <x:c r="A45" s="170" t="str">
        <x:v>Shoulders</x:v>
      </x:c>
      <x:c r="B45" s="170" t="str">
        <x:v>Cable Upright Row</x:v>
      </x:c>
      <x:c r="C45" s="170" t="str">
        <x:v>50 kg x 10 @ RIR 1 after 50 kg x 12 @ RIR 2</x:v>
      </x:c>
      <x:c r="D45" s="170" t="str">
        <x:v>40-50 kg stack</x:v>
      </x:c>
      <x:c r="E45" s="170" t="str">
        <x:v>50 kg x 12-14 @ RIR 2</x:v>
      </x:c>
      <x:c r="F45" s="170" t="str">
        <x:v>Improve final-set reserve</x:v>
      </x:c>
      <x:c r="G45" s="170" t="str">
        <x:v>Pull only to comfortable height</x:v>
      </x:c>
      <x:c r="H45" s="170" t="str">
        <x:v>In progress</x:v>
      </x:c>
      <x:c r="I45" s="170" t="str">
        <x:v>40 kg set progressed; exact effective stack To verify</x:v>
      </x:c>
    </x:row>
    <x:row r="46" ht="48" customHeight="1">
      <x:c r="A46" s="170" t="str">
        <x:v>Core</x:v>
      </x:c>
      <x:c r="B46" s="170" t="str">
        <x:v>Front Plank</x:v>
      </x:c>
      <x:c r="C46" s="170" t="str">
        <x:v>3 x 60 sec; form detail To verify</x:v>
      </x:c>
      <x:c r="D46" s="170" t="str">
        <x:v>Body weight</x:v>
      </x:c>
      <x:c r="E46" s="170" t="str">
        <x:v>3 x 60 sec strict</x:v>
      </x:c>
      <x:c r="F46" s="170" t="str">
        <x:v>Maintain before adding time</x:v>
      </x:c>
      <x:c r="G46" s="170" t="str">
        <x:v>Glutes tight; ribs down; no hip sag</x:v>
      </x:c>
      <x:c r="H46" s="170" t="str">
        <x:v>In progress</x:v>
      </x:c>
      <x:c r="I46" s="170" t="str">
        <x:v>No lower-back pain or breakdown reported on 2026-08-21</x:v>
      </x:c>
    </x:row>
    <x:row r="47" ht="48" customHeight="1">
      <x:c r="A47" s="170" t="str">
        <x:v>Biceps</x:v>
      </x:c>
      <x:c r="B47" s="170" t="str">
        <x:v>Incline Dumbbell Curl</x:v>
      </x:c>
      <x:c r="C47" s="170" t="str">
        <x:v>12.5 kg each x 9 @ RIR 1</x:v>
      </x:c>
      <x:c r="D47" s="170" t="str">
        <x:v>7.5-12.5 kg each</x:v>
      </x:c>
      <x:c r="E47" s="170" t="str">
        <x:v>12.5 kg each x 9-10 @ RIR 2</x:v>
      </x:c>
      <x:c r="F47" s="170" t="str">
        <x:v>Keep load; improve reserve</x:v>
      </x:c>
      <x:c r="G47" s="170" t="str">
        <x:v>Bench 45-60 deg; no forced stretch</x:v>
      </x:c>
      <x:c r="H47" s="170" t="str">
        <x:v>Modify effort</x:v>
      </x:c>
      <x:c r="I47" s="170" t="str">
        <x:v>Third set completed despite live reduction; detailed form To verify</x:v>
      </x:c>
    </x:row>
    <x:row r="48" ht="48" customHeight="1">
      <x:c r="A48" s="170" t="str">
        <x:v>Legs</x:v>
      </x:c>
      <x:c r="B48" s="170" t="str">
        <x:v>Dumbbell Romanian Deadlift</x:v>
      </x:c>
      <x:c r="C48" s="170" t="str">
        <x:v>15 kg each x 12 @ RIR 2; lower-back dominant</x:v>
      </x:c>
      <x:c r="D48" s="170" t="str">
        <x:v>10 kg each technique only</x:v>
      </x:c>
      <x:c r="E48" s="170" t="str">
        <x:v>10 kg each x 10-12 @ RIR 3-4</x:v>
      </x:c>
      <x:c r="F48" s="170" t="str">
        <x:v>Technique reset; do not add load</x:v>
      </x:c>
      <x:c r="G48" s="170" t="str">
        <x:v>Wall hinge; dumbbells close; hamstring-controlled depth</x:v>
      </x:c>
      <x:c r="H48" s="170" t="str">
        <x:v>Verify technique</x:v>
      </x:c>
      <x:c r="I48" s="170" t="str">
        <x:v>Lower-back dominant; little post-session hip pain; stop if either persists</x:v>
      </x:c>
    </x:row>
    <x:row r="49" ht="52" customHeight="1">
      <x:c r="A49" s="170" t="str">
        <x:v>Shoulders</x:v>
      </x:c>
      <x:c r="B49" s="170" t="str">
        <x:v>Experimental Rear-Delt Lateral-Raise Machine</x:v>
      </x:c>
      <x:c r="C49" s="170" t="str">
        <x:v>5 kg/side x 8 @ RIR 1</x:v>
      </x:c>
      <x:c r="D49" s="170" t="str">
        <x:v>Historical experiment only</x:v>
      </x:c>
      <x:c r="E49" s="170" t="str">
        <x:v>Do not repeat in active sequence</x:v>
      </x:c>
      <x:c r="F49" s="170" t="str">
        <x:v>Use Reverse Pec Deck instead</x:v>
      </x:c>
      <x:c r="G49" s="170" t="str">
        <x:v>Exact setup/path To verify</x:v>
      </x:c>
      <x:c r="H49" s="170" t="str">
        <x:v>Experimental / Replaced</x:v>
      </x:c>
      <x:c r="I49" s="170" t="str">
        <x:v>Two sets retained as working fatigue; not deleted</x:v>
      </x:c>
    </x:row>
    <x:row r="50" ht="52" customHeight="1">
      <x:c r="A50" s="170" t="str">
        <x:v>Shoulders</x:v>
      </x:c>
      <x:c r="B50" s="170" t="str">
        <x:v>Cable Shrug</x:v>
      </x:c>
      <x:c r="C50" s="170" t="str">
        <x:v>80 kg x 13 @ RIR 2; poor trap sensation</x:v>
      </x:c>
      <x:c r="D50" s="170" t="str">
        <x:v>Historical experiment only</x:v>
      </x:c>
      <x:c r="E50" s="170" t="str">
        <x:v>Use Dumbbell Shrug target</x:v>
      </x:c>
      <x:c r="F50" s="170" t="str">
        <x:v>Replace; do not progress cable load</x:v>
      </x:c>
      <x:c r="G50" s="170" t="str">
        <x:v>Straight arms; dedicated shrug path</x:v>
      </x:c>
      <x:c r="H50" s="170" t="str">
        <x:v>Poor stimulus / Replaced</x:v>
      </x:c>
      <x:c r="I50" s="170" t="str">
        <x:v>Elbows tended to bend; effective cable resistance To verify</x:v>
      </x:c>
    </x:row>
  </x:sheetData>
  <x:mergeCells>
    <x:mergeCell ref="A1:I2"/>
  </x:mergeCells>
  <x:conditionalFormatting sqref="H5:H19">
    <x:cfRule type="expression" dxfId="3" priority="1">
      <x:formula>H5="Achieved"</x:formula>
    </x:cfRule>
    <x:cfRule type="expression" dxfId="4" priority="2">
      <x:formula>H5="Verify"</x:formula>
    </x:cfRule>
  </x:conditionalFormatting>
  <x:dataValidations count="3">
    <x:dataValidation type="list" allowBlank="0" showDropDown="0" showInputMessage="0" showErrorMessage="0" sqref="H5:H19">
      <x:formula1>"In progress,Achieved,Verify,Paused"</x:formula1>
    </x:dataValidation>
    <x:dataValidation type="list" sqref="H5:H32">
      <x:formula1>"Baseline set,In progress,Modify effort,Hold,Progress,To verify"</x:formula1>
    </x:dataValidation>
    <x:dataValidation type="list" sqref="H5:H38">
      <x:formula1>"Baseline set,In progress,Modify effort,Hold,Progress,To verify"</x:formula1>
    </x:dataValidation>
  </x:dataValidations>
  <x:pageMargins left="0.7" right="0.7" top="0.75" bottom="0.75" header="0.3" footer="0.3"/>
  <x:tableParts count="1">
    <x:tablePart xmlns:r="http://schemas.openxmlformats.org/officeDocument/2006/relationships" r:id="R1082d0a745844226"/>
  </x:tableParts>
</x:worksheet>
</file>

<file path=xl/worksheets/sheet5.xml><?xml version="1.0" encoding="utf-8"?>
<x:worksheet xmlns:x="http://schemas.openxmlformats.org/spreadsheetml/2006/main">
  <x:sheetFormatPr baseColWidth="8" defaultRowHeight="15"/>
  <x:cols>
    <x:col min="1" max="1" width="12" hidden="0" customWidth="1"/>
    <x:col min="2" max="2" width="13" hidden="0" customWidth="1"/>
    <x:col min="3" max="3" width="13" hidden="0" customWidth="1"/>
    <x:col min="4" max="4" width="11" hidden="0" customWidth="1"/>
    <x:col min="5" max="5" width="11" hidden="0" customWidth="1"/>
    <x:col min="6" max="6" width="38" hidden="0" customWidth="1"/>
    <x:col min="7" max="7" width="14" hidden="0" customWidth="1"/>
    <x:col min="8" max="8" width="14" hidden="0" customWidth="1"/>
    <x:col min="9" max="9" width="14" hidden="0" customWidth="1"/>
    <x:col min="10" max="10" width="28" hidden="0" customWidth="1"/>
    <x:col min="12" max="12" width="11"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34" hidden="0" customWidth="1"/>
  </x:cols>
  <x:sheetData>
    <x:row r="1">
      <x:c r="A1" s="89" t="inlineStr">
        <x:is>
          <x:t xml:space="preserve">Recovery, Body Metrics &amp; Nutrition</x:t>
        </x:is>
      </x:c>
      <x:c r="B1" s="53" t="n"/>
      <x:c r="C1" s="53" t="n"/>
      <x:c r="D1" s="53" t="n"/>
      <x:c r="E1" s="53" t="n"/>
      <x:c r="F1" s="53" t="n"/>
      <x:c r="G1" s="53" t="n"/>
      <x:c r="H1" s="53" t="n"/>
      <x:c r="I1" s="53" t="n"/>
      <x:c r="J1" s="53" t="n"/>
      <x:c r="K1" s="59" t="n"/>
      <x:c r="L1" s="59" t="n"/>
      <x:c r="M1" s="59" t="n"/>
      <x:c r="N1" s="59" t="n"/>
      <x:c r="O1" s="59" t="n"/>
      <x:c r="P1" s="59" t="n"/>
      <x:c r="Q1" s="59" t="n"/>
    </x:row>
    <x:row r="2">
      <x:c r="A2" s="53" t="n"/>
      <x:c r="B2" s="53" t="n"/>
      <x:c r="C2" s="53" t="n"/>
      <x:c r="D2" s="53" t="n"/>
      <x:c r="E2" s="53" t="n"/>
      <x:c r="F2" s="53" t="n"/>
      <x:c r="G2" s="53" t="n"/>
      <x:c r="H2" s="53" t="n"/>
      <x:c r="I2" s="53" t="n"/>
      <x:c r="J2" s="53" t="n"/>
      <x:c r="K2" s="59" t="n"/>
      <x:c r="L2" s="59" t="n"/>
      <x:c r="M2" s="59" t="n"/>
      <x:c r="N2" s="59" t="n"/>
      <x:c r="O2" s="59" t="n"/>
      <x:c r="P2" s="59" t="n"/>
      <x:c r="Q2" s="59" t="n"/>
    </x:row>
    <x:row r="3">
      <x:c r="A3" s="59" t="n"/>
      <x:c r="B3" s="59" t="n"/>
      <x:c r="C3" s="59" t="n"/>
      <x:c r="D3" s="59" t="n"/>
      <x:c r="E3" s="59" t="n"/>
      <x:c r="F3" s="59" t="n"/>
      <x:c r="G3" s="59" t="n"/>
      <x:c r="H3" s="59" t="n"/>
      <x:c r="I3" s="59" t="n"/>
      <x:c r="J3" s="59" t="n"/>
      <x:c r="K3" s="59" t="n"/>
      <x:c r="L3" s="59" t="n"/>
      <x:c r="M3" s="59" t="n"/>
      <x:c r="N3" s="59" t="n"/>
      <x:c r="O3" s="59" t="n"/>
      <x:c r="P3" s="59" t="n"/>
      <x:c r="Q3" s="59" t="n"/>
    </x:row>
    <x:row r="4" ht="15" hidden="0" customHeight="1">
      <x:c r="A4" s="219" t="str">
        <x:v>Date</x:v>
      </x:c>
      <x:c r="B4" s="219" t="str">
        <x:v>Weight (kg)</x:v>
      </x:c>
      <x:c r="C4" s="219" t="str">
        <x:v>Waist (cm)</x:v>
      </x:c>
      <x:c r="D4" s="219" t="str">
        <x:v>Sleep</x:v>
      </x:c>
      <x:c r="E4" s="219" t="str">
        <x:v>Energy</x:v>
      </x:c>
      <x:c r="F4" s="219" t="str">
        <x:v>Soreness / Pain</x:v>
      </x:c>
      <x:c r="G4" s="219" t="str">
        <x:v>Protein (g)</x:v>
      </x:c>
      <x:c r="H4" s="219" t="str">
        <x:v>Water (L)</x:v>
      </x:c>
      <x:c r="I4" s="219" t="str">
        <x:v>Steps / Cardio</x:v>
      </x:c>
      <x:c r="J4" s="219" t="str">
        <x:v>Notes</x:v>
      </x:c>
      <x:c r="K4" s="222" t="n"/>
      <x:c r="L4" s="224" t="str">
        <x:v>Weekly Measurement Check-In</x:v>
      </x:c>
      <x:c r="M4" s="224" t="str">
        <x:v>Weekly Measurement Check-In</x:v>
      </x:c>
      <x:c r="N4" s="224" t="str">
        <x:v>Weekly Measurement Check-In</x:v>
      </x:c>
      <x:c r="O4" s="224" t="str">
        <x:v>Weekly Measurement Check-In</x:v>
      </x:c>
      <x:c r="P4" s="224" t="str">
        <x:v>Weekly Measurement Check-In</x:v>
      </x:c>
      <x:c r="Q4" s="224" t="str">
        <x:v>Weekly Measurement Check-In</x:v>
      </x:c>
      <x:c r="R4" s="224" t="str">
        <x:v>Weekly Measurement Check-In</x:v>
      </x:c>
      <x:c r="S4" s="224" t="str">
        <x:v>Weekly Measurement Check-In</x:v>
      </x:c>
    </x:row>
    <x:row r="5" ht="26.399999618530273" hidden="0" customHeight="1">
      <x:c r="A5" s="220" t="n">
        <x:v>46238</x:v>
      </x:c>
      <x:c r="B5" s="223" t="n">
        <x:v>90</x:v>
      </x:c>
      <x:c r="C5" s="223"/>
      <x:c r="D5" s="170" t="str">
        <x:v>Good</x:v>
      </x:c>
      <x:c r="E5" s="170" t="str">
        <x:v>Medium</x:v>
      </x:c>
      <x:c r="F5" s="170" t="str">
        <x:v>None before workout; mild side-deltoid soreness after chest</x:v>
      </x:c>
      <x:c r="G5" s="170"/>
      <x:c r="H5" s="170"/>
      <x:c r="I5" s="170"/>
      <x:c r="J5" s="170" t="str">
        <x:v>Chest volume was high</x:v>
      </x:c>
      <x:c r="K5" s="222" t="n"/>
      <x:c r="L5" s="225" t="str">
        <x:v>Week</x:v>
      </x:c>
      <x:c r="M5" s="226" t="str">
        <x:v>Week End</x:v>
      </x:c>
      <x:c r="N5" s="226" t="str">
        <x:v>Avg Weight (kg)</x:v>
      </x:c>
      <x:c r="O5" s="226" t="str">
        <x:v>Waist (cm)</x:v>
      </x:c>
      <x:c r="P5" s="226" t="str">
        <x:v>Waist Change (cm)</x:v>
      </x:c>
      <x:c r="Q5" s="226" t="str">
        <x:v>Arm (cm)</x:v>
      </x:c>
      <x:c r="R5" s="226" t="str">
        <x:v>Avg Steps</x:v>
      </x:c>
      <x:c r="S5" s="227" t="str">
        <x:v>Notes</x:v>
      </x:c>
    </x:row>
    <x:row r="6" ht="26.399999618530273" hidden="0" customHeight="1">
      <x:c r="A6" s="220" t="n">
        <x:v>46239</x:v>
      </x:c>
      <x:c r="B6" s="223" t="n">
        <x:v>90</x:v>
      </x:c>
      <x:c r="C6" s="223"/>
      <x:c r="D6" s="170"/>
      <x:c r="E6" s="170"/>
      <x:c r="F6" s="170" t="str">
        <x:v>Side-deltoid muscular soreness 3/10; no joint pain</x:v>
      </x:c>
      <x:c r="G6" s="170"/>
      <x:c r="H6" s="170"/>
      <x:c r="I6" s="170"/>
      <x:c r="J6" s="170" t="str">
        <x:v>Biceps trained; shoulders avoided</x:v>
      </x:c>
      <x:c r="K6" s="222" t="n"/>
      <x:c r="L6" s="147" t="str">
        <x:v>Baseline</x:v>
      </x:c>
      <x:c r="M6" s="148"/>
      <x:c r="N6" s="149" t="n">
        <x:v>90</x:v>
      </x:c>
      <x:c r="O6" s="149"/>
      <x:c r="P6" s="149"/>
      <x:c r="Q6" s="150"/>
      <x:c r="R6" s="151"/>
      <x:c r="S6" s="152" t="str">
        <x:v>Historical provisional weight retained; no verified waist was available at that point.</x:v>
      </x:c>
    </x:row>
    <x:row r="7" ht="118.80000305175781" hidden="0" customHeight="1">
      <x:c r="A7" s="220" t="n">
        <x:v>46240</x:v>
      </x:c>
      <x:c r="B7" s="223" t="n">
        <x:v>90</x:v>
      </x:c>
      <x:c r="C7" s="223"/>
      <x:c r="D7" s="170" t="str">
        <x:v>Okay</x:v>
      </x:c>
      <x:c r="E7" s="170" t="str">
        <x:v>Medium</x:v>
      </x:c>
      <x:c r="F7" s="170" t="str">
        <x:v>Biceps soreness none; shoulder soreness better</x:v>
      </x:c>
      <x:c r="G7" s="170"/>
      <x:c r="H7" s="170"/>
      <x:c r="I7" s="170" t="str">
        <x:v>Leg workout</x:v>
      </x:c>
      <x:c r="J7" s="170" t="str">
        <x:v>First fully tracked leg day</x:v>
      </x:c>
      <x:c r="K7" s="222" t="n"/>
      <x:c r="L7" s="153" t="str">
        <x:v>Week 1</x:v>
      </x:c>
      <x:c r="M7" s="154" t="n">
        <x:v>46243</x:v>
      </x:c>
      <x:c r="N7" s="155" t="n">
        <x:v>88.8</x:v>
      </x:c>
      <x:c r="O7" s="155" t="n">
        <x:v>99.1</x:v>
      </x:c>
      <x:c r="P7" s="155"/>
      <x:c r="Q7" s="156"/>
      <x:c r="R7" s="157"/>
      <x:c r="S7" s="158" t="str">
        <x:v>First reported Sunday baseline. 88.8 kg is one morning reading, not a weekly average. Waist 39 in = 99.1 cm. Bathroom/pre-food conditions to verify. The 91.5 kg post-workout gym reading is non-comparable and is not used for trend calculations. Follow-up confirmed: measurements were taken after using the bathroom and before eating or drinking.</x:v>
      </x:c>
    </x:row>
    <x:row r="8" ht="132" hidden="0" customHeight="1">
      <x:c r="A8" s="220" t="n">
        <x:v>46241</x:v>
      </x:c>
      <x:c r="B8" s="223"/>
      <x:c r="C8" s="223"/>
      <x:c r="D8" s="170" t="str">
        <x:v>Okay</x:v>
      </x:c>
      <x:c r="E8" s="170" t="str">
        <x:v>Medium</x:v>
      </x:c>
      <x:c r="F8" s="170" t="str">
        <x:v>No shoulder or lower-back pain before, during, or after workout</x:v>
      </x:c>
      <x:c r="G8" s="170"/>
      <x:c r="H8" s="170"/>
      <x:c r="I8" s="170" t="str">
        <x:v>Shoulder workout - 75 min</x:v>
      </x:c>
      <x:c r="J8" s="170" t="str">
        <x:v>Completed 6 exercises / 20 set entries (19 working + 1 warm-up); no assisted repetitions; final energy Low-Medium; full EAA+ Energy scoop (100 mg caffeine); no black coffee. User reported feeling equally energetic without black coffee; sleep response to the 100 mg EAA+ caffeine remains To verify tomorrow morning.</x:v>
      </x:c>
      <x:c r="K8" s="222" t="n"/>
      <x:c r="L8" s="153" t="str">
        <x:v>Week 2</x:v>
      </x:c>
      <x:c r="M8" s="154" t="n">
        <x:v>46250</x:v>
      </x:c>
      <x:c r="N8" s="155" t="n">
        <x:v>88.3</x:v>
      </x:c>
      <x:c r="O8" s="155" t="n">
        <x:v>96.5</x:v>
      </x:c>
      <x:c r="P8" s="155" t="n">
        <x:v>-2.6</x:v>
      </x:c>
      <x:c r="Q8" s="156"/>
      <x:c r="R8" s="157" t="str">
        <x:f>IF(M8="","",IFERROR(AVERAGEIFS($I$5:$I$200,$A$5:$A$200,"&gt;="&amp;M8-6,$A$5:$A$200,"&lt;="&amp;M8),""))</x:f>
      </x:c>
      <x:c r="S8" s="158" t="str">
        <x:v>Second standardized Sunday point. Single morning reading, not a weekly average. After bathroom and before food/drink; abdomen relaxed; tape at navel. Change versus 2026-08-09: -0.5 kg and -2.6 cm. Use the multi-week trend before attributing the full change to fat loss.</x:v>
      </x:c>
    </x:row>
    <x:row r="9" ht="264" hidden="0" customHeight="1">
      <x:c r="A9" s="220" t="n">
        <x:v>46242</x:v>
      </x:c>
      <x:c r="B9" s="223"/>
      <x:c r="C9" s="223"/>
      <x:c r="D9" s="170" t="str">
        <x:v>Excellent</x:v>
      </x:c>
      <x:c r="E9" s="170" t="str">
        <x:v>High</x:v>
      </x:c>
      <x:c r="F9" s="170" t="str">
        <x:v>No shoulder, elbow, lower-back or other pain before, during or after Triceps workout</x:v>
      </x:c>
      <x:c r="G9" s="170"/>
      <x:c r="H9" s="170"/>
      <x:c r="I9" s="170" t="str">
        <x:v>Triceps workout - 90 min</x:v>
      </x:c>
      <x:c r="J9" s="170" t="str">
        <x:v>No-coffee trial follow-up: felt naturally sleepy earlier after gym, but deliberately delayed bedtime to about 02:30 for weekend leisure; woke about 10:30 after approximately 8 hours; sleep felt very good and relaxing; morning energy was high with no sleepiness. Previous session used one full EAA+ Energy scoop (100 mg caffeine) and no black coffee. Subjective one-night outcome. Triceps follow-up: started about 18:30; medium pre/post energy; completed 6 exercises / 21 set entries (20 working + 1 warm-up); no forced repetitions; assisted dips used machine support; no black coffee; EAA+ used, but today's serving amount was not reconfirmed and remains To verify.</x:v>
      </x:c>
      <x:c r="K9" s="222" t="n"/>
      <x:c r="L9" s="153" t="str">
        <x:v>Week 3</x:v>
      </x:c>
      <x:c r="M9" s="154"/>
      <x:c r="N9" s="155" t="str">
        <x:f>IF(M9="","",IFERROR(AVERAGEIFS($B$5:$B$200,$A$5:$A$200,"&gt;="&amp;M9-6,$A$5:$A$200,"&lt;="&amp;M9),""))</x:f>
      </x:c>
      <x:c r="O9" s="155"/>
      <x:c r="P9" s="155" t="str">
        <x:f>IF(O9="","",IFERROR(O9-$O$6,""))</x:f>
      </x:c>
      <x:c r="Q9" s="156"/>
      <x:c r="R9" s="157" t="str">
        <x:f>IF(M9="","",IFERROR(AVERAGEIFS($I$5:$I$200,$A$5:$A$200,"&gt;="&amp;M9-6,$A$5:$A$200,"&lt;="&amp;M9),""))</x:f>
      </x:c>
      <x:c r="S9" s="158"/>
    </x:row>
    <x:row r="10" ht="224.39999389648438" hidden="0" customHeight="1">
      <x:c r="A10" s="220" t="n">
        <x:v>46243</x:v>
      </x:c>
      <x:c r="B10" s="223" t="n">
        <x:v>88.8</x:v>
      </x:c>
      <x:c r="C10" s="223" t="n">
        <x:v>99.1</x:v>
      </x:c>
      <x:c r="D10" s="170" t="str">
        <x:v>Okay</x:v>
      </x:c>
      <x:c r="E10" s="170" t="str">
        <x:v>Not recorded</x:v>
      </x:c>
      <x:c r="F10" s="170" t="str">
        <x:v>No soreness or pain reported</x:v>
      </x:c>
      <x:c r="G10" s="170"/>
      <x:c r="H10" s="170"/>
      <x:c r="I10" s="170" t="str">
        <x:v>Sunday rest / measurement check-in</x:v>
      </x:c>
      <x:c r="J10" s="170" t="str">
        <x:v>Feeling good. First reported Sunday morning baseline: 88.8 kg and 39 in (99.1 cm) at the navel. Bathroom/pre-food conditions were requested previously but not explicitly reconfirmed in this reply. A separate 91.5 kg gym-machine reading was taken post-workout at night and is preserved as non-comparable because time, scale, clothing, food and fluid conditions differed. EAA+ routine confirmed as one full scoop every workout. Follow-up confirmed: measurements were taken after using the bathroom and before eating or drinking.</x:v>
      </x:c>
      <x:c r="K10" s="222" t="n"/>
      <x:c r="L10" s="159" t="str">
        <x:v>Week 4</x:v>
      </x:c>
      <x:c r="M10" s="160"/>
      <x:c r="N10" s="161" t="str">
        <x:f>IF(M10="","",IFERROR(AVERAGEIFS($B$5:$B$200,$A$5:$A$200,"&gt;="&amp;M10-6,$A$5:$A$200,"&lt;="&amp;M10),""))</x:f>
      </x:c>
      <x:c r="O10" s="161"/>
      <x:c r="P10" s="161" t="str">
        <x:f>IF(O10="","",IFERROR(O10-$O$6,""))</x:f>
      </x:c>
      <x:c r="Q10" s="162"/>
      <x:c r="R10" s="163" t="str">
        <x:f>IF(M10="","",IFERROR(AVERAGEIFS($I$5:$I$200,$A$5:$A$200,"&gt;="&amp;M10-6,$A$5:$A$200,"&lt;="&amp;M10),""))</x:f>
      </x:c>
      <x:c r="S10" s="164"/>
    </x:row>
    <x:row r="11" ht="180" customHeight="1">
      <x:c r="A11" s="379" t="n">
        <x:v>46244</x:v>
      </x:c>
      <x:c r="B11" s="325"/>
      <x:c r="C11" s="325"/>
      <x:c r="D11" s="325" t="str">
        <x:v>Good</x:v>
      </x:c>
      <x:c r="E11" s="325" t="str">
        <x:v>Low to medium final</x:v>
      </x:c>
      <x:c r="F11" s="325" t="str">
        <x:v>No pain; slight triceps sensation after straight-arm work</x:v>
      </x:c>
      <x:c r="G11" s="325"/>
      <x:c r="H11" s="325"/>
      <x:c r="I11" s="325" t="str">
        <x:v>Back workout - 90 min</x:v>
      </x:c>
      <x:c r="J11" s="325" t="str">
        <x:v>Full EAA+ scoop; additional black coffee To verify; no assisted reps</x:v>
      </x:c>
      <x:c r="K11" s="59" t="n"/>
      <x:c r="L11" s="59" t="n"/>
      <x:c r="M11" s="59" t="n"/>
      <x:c r="N11" s="59" t="n"/>
      <x:c r="O11" s="59" t="n"/>
      <x:c r="P11" s="59" t="n"/>
      <x:c r="Q11" s="59" t="n"/>
    </x:row>
    <x:row r="12">
      <x:c r="A12" s="220" t="n">
        <x:v>46245</x:v>
      </x:c>
      <x:c r="B12" s="170"/>
      <x:c r="C12" s="170"/>
      <x:c r="D12" s="170" t="str">
        <x:v>Good</x:v>
      </x:c>
      <x:c r="E12" s="170" t="str">
        <x:v>Low final</x:v>
      </x:c>
      <x:c r="F12" s="170" t="str">
        <x:v>No pain</x:v>
      </x:c>
      <x:c r="G12" s="170"/>
      <x:c r="H12" s="170"/>
      <x:c r="I12" s="170" t="str">
        <x:v>Chest workout</x:v>
      </x:c>
      <x:c r="J12" s="170" t="str">
        <x:v>Full EAA+ scoop; duration and extra caffeine To verify; final incline rep nearly assisted</x:v>
      </x:c>
      <x:c r="K12" s="59" t="n"/>
      <x:c r="L12" s="59" t="n"/>
      <x:c r="M12" s="59" t="n"/>
      <x:c r="N12" s="59" t="n"/>
      <x:c r="O12" s="59" t="n"/>
      <x:c r="P12" s="59" t="n"/>
      <x:c r="Q12" s="59" t="n"/>
    </x:row>
    <x:row r="13">
      <x:c r="A13" s="220" t="n">
        <x:v>46246</x:v>
      </x:c>
      <x:c r="B13" s="170"/>
      <x:c r="C13" s="170"/>
      <x:c r="D13" s="170" t="str">
        <x:v>Good</x:v>
      </x:c>
      <x:c r="E13" s="170" t="str">
        <x:v>Low final</x:v>
      </x:c>
      <x:c r="F13" s="170" t="str">
        <x:v>No pain</x:v>
      </x:c>
      <x:c r="G13" s="170"/>
      <x:c r="H13" s="170"/>
      <x:c r="I13" s="170" t="str">
        <x:v>Biceps workout - 90 min</x:v>
      </x:c>
      <x:c r="J13" s="170" t="str">
        <x:v>Full EAA+ scoop; no black coffee; no assistance or body swing</x:v>
      </x:c>
      <x:c r="K13" s="59" t="n"/>
      <x:c r="L13" s="59" t="n"/>
      <x:c r="M13" s="59" t="n"/>
      <x:c r="N13" s="59" t="n"/>
      <x:c r="O13" s="59" t="n"/>
      <x:c r="P13" s="59" t="n"/>
      <x:c r="Q13" s="59" t="n"/>
    </x:row>
    <x:row r="14">
      <x:c r="A14" s="220" t="n">
        <x:v>46247</x:v>
      </x:c>
      <x:c r="B14" s="170"/>
      <x:c r="C14" s="170"/>
      <x:c r="D14" s="170" t="str">
        <x:v>Good</x:v>
      </x:c>
      <x:c r="E14" s="170" t="str">
        <x:v>Low final</x:v>
      </x:c>
      <x:c r="F14" s="170" t="str">
        <x:v>No knee, hip or lower-back pain</x:v>
      </x:c>
      <x:c r="G14" s="170"/>
      <x:c r="H14" s="170"/>
      <x:c r="I14" s="170" t="str">
        <x:v>Leg workout - 90 min</x:v>
      </x:c>
      <x:c r="J14" s="170" t="str">
        <x:v>Easier stairs than prior leg session; 4 hand-assisted reps at 150 kg leg press; delayed soreness To verify</x:v>
      </x:c>
      <x:c r="K14" s="59" t="n"/>
      <x:c r="L14" s="59" t="n"/>
      <x:c r="M14" s="59" t="n"/>
      <x:c r="N14" s="59" t="n"/>
      <x:c r="O14" s="59" t="n"/>
      <x:c r="P14" s="59" t="n"/>
      <x:c r="Q14" s="59" t="n"/>
    </x:row>
    <x:row r="15">
      <x:c r="A15" s="220" t="n">
        <x:v>46248</x:v>
      </x:c>
      <x:c r="B15" s="170"/>
      <x:c r="C15" s="170"/>
      <x:c r="D15" s="170" t="str">
        <x:v>Good</x:v>
      </x:c>
      <x:c r="E15" s="170" t="str">
        <x:v>Medium final</x:v>
      </x:c>
      <x:c r="F15" s="170" t="str">
        <x:v>No pain</x:v>
      </x:c>
      <x:c r="G15" s="170"/>
      <x:c r="H15" s="170"/>
      <x:c r="I15" s="170" t="str">
        <x:v>Shoulder workout - 90 min</x:v>
      </x:c>
      <x:c r="J15" s="170" t="str">
        <x:v>Full EAA+ scoop; no assistance; lateral-machine loaded-set count To verify</x:v>
      </x:c>
      <x:c r="K15" s="59" t="n"/>
      <x:c r="L15" s="59" t="n"/>
      <x:c r="M15" s="59" t="n"/>
      <x:c r="N15" s="59" t="n"/>
      <x:c r="O15" s="59" t="n"/>
      <x:c r="P15" s="59" t="n"/>
      <x:c r="Q15" s="59" t="n"/>
    </x:row>
    <x:row r="16">
      <x:c r="A16" s="220" t="n">
        <x:v>46249</x:v>
      </x:c>
      <x:c r="B16" s="170"/>
      <x:c r="C16" s="170"/>
      <x:c r="D16" s="170" t="str">
        <x:v>Very good</x:v>
      </x:c>
      <x:c r="E16" s="170" t="str">
        <x:v>Medium final</x:v>
      </x:c>
      <x:c r="F16" s="170" t="str">
        <x:v>No pain</x:v>
      </x:c>
      <x:c r="G16" s="170"/>
      <x:c r="H16" s="170"/>
      <x:c r="I16" s="170" t="str">
        <x:v>Triceps + 10-min incline walk + 2 x 60-sec plank</x:v>
      </x:c>
      <x:c r="J16" s="170" t="str">
        <x:v>Full EAA+ scoop; coffee To verify; no forced reps; treadmill speed unit To verify</x:v>
      </x:c>
      <x:c r="K16" s="59" t="n"/>
      <x:c r="L16" s="59" t="n"/>
      <x:c r="M16" s="59" t="n"/>
      <x:c r="N16" s="59" t="n"/>
      <x:c r="O16" s="59" t="n"/>
      <x:c r="P16" s="59" t="n"/>
      <x:c r="Q16" s="59" t="n"/>
    </x:row>
    <x:row r="17">
      <x:c r="A17" s="220" t="n">
        <x:v>46251</x:v>
      </x:c>
      <x:c r="B17" s="170"/>
      <x:c r="C17" s="170"/>
      <x:c r="D17" s="170" t="str">
        <x:v>Good</x:v>
      </x:c>
      <x:c r="E17" s="170" t="str">
        <x:v>Low final</x:v>
      </x:c>
      <x:c r="F17" s="170" t="str">
        <x:v>Lower-back muscular pump; no pain; no shoulder/elbow pain</x:v>
      </x:c>
      <x:c r="G17" s="170"/>
      <x:c r="H17" s="170"/>
      <x:c r="I17" s="170" t="str">
        <x:v>Back workout - 75 min</x:v>
      </x:c>
      <x:c r="J17" s="170" t="str">
        <x:v>Full EAA+ scoop; no black coffee; no assistance; +20 kg hyperextension paused and reached RIR 0; morning freshness To verify</x:v>
      </x:c>
      <x:c r="K17" s="59" t="n"/>
      <x:c r="L17" s="59" t="n"/>
      <x:c r="M17" s="59" t="n"/>
      <x:c r="N17" s="59" t="n"/>
      <x:c r="O17" s="59" t="n"/>
      <x:c r="P17" s="59" t="n"/>
      <x:c r="Q17" s="59" t="n"/>
    </x:row>
    <x:row r="18">
      <x:c r="A18" s="220" t="n">
        <x:v>46252</x:v>
      </x:c>
      <x:c r="B18" s="170"/>
      <x:c r="C18" s="170"/>
      <x:c r="D18" s="170" t="str">
        <x:v>Good</x:v>
      </x:c>
      <x:c r="E18" s="170" t="str">
        <x:v>Medium to low final</x:v>
      </x:c>
      <x:c r="F18" s="170" t="str">
        <x:v>No pain; little lower-biceps pump after final cable fly</x:v>
      </x:c>
      <x:c r="G18" s="170"/>
      <x:c r="H18" s="170"/>
      <x:c r="I18" s="170" t="str">
        <x:v>Chest workout - 90 min; medium chest pump; 3 x 60-sec strict plank</x:v>
      </x:c>
      <x:c r="J18" s="170" t="str">
        <x:v>Full EAA+ scoop; no black coffee; no assisted reps; lower-biceps pump side and resolution To verify</x:v>
      </x:c>
      <x:c r="K18" s="59" t="n"/>
      <x:c r="L18" s="59" t="n"/>
      <x:c r="M18" s="59" t="n"/>
      <x:c r="N18" s="59" t="n"/>
      <x:c r="O18" s="59" t="n"/>
      <x:c r="P18" s="59" t="n"/>
      <x:c r="Q18" s="59" t="n"/>
    </x:row>
    <x:row r="19">
      <x:c r="A19" s="220" t="n">
        <x:v>46250</x:v>
      </x:c>
      <x:c r="B19" s="170" t="n">
        <x:v>88.3</x:v>
      </x:c>
      <x:c r="C19" s="170" t="n">
        <x:v>96.5</x:v>
      </x:c>
      <x:c r="D19" s="170"/>
      <x:c r="E19" s="170"/>
      <x:c r="F19" s="170"/>
      <x:c r="G19" s="170"/>
      <x:c r="H19" s="170"/>
      <x:c r="I19" s="170" t="str">
        <x:v>Standardized Sunday measurement check-in</x:v>
      </x:c>
      <x:c r="J19" s="170" t="str">
        <x:v>After bathroom and before food/drink; abdomen relaxed; tape at navel level; verified; photos not supplied</x:v>
      </x:c>
      <x:c r="K19" s="59" t="n"/>
      <x:c r="L19" s="59" t="n"/>
      <x:c r="M19" s="59" t="n"/>
      <x:c r="N19" s="59" t="n"/>
      <x:c r="O19" s="59" t="n"/>
      <x:c r="P19" s="59" t="n"/>
      <x:c r="Q19" s="59" t="n"/>
    </x:row>
    <x:row r="20">
      <x:c r="A20" s="220" t="n">
        <x:v>46253</x:v>
      </x:c>
      <x:c r="B20" s="170"/>
      <x:c r="C20" s="170"/>
      <x:c r="D20" s="170" t="str">
        <x:v>Good</x:v>
      </x:c>
      <x:c r="E20" s="170" t="str">
        <x:v>Low final</x:v>
      </x:c>
      <x:c r="F20" s="170" t="str">
        <x:v>Usual overall biceps sensation; no unusual lower-biceps symptom; no elbow, wrist or shoulder pain</x:v>
      </x:c>
      <x:c r="G20" s="170"/>
      <x:c r="H20" s="170"/>
      <x:c r="I20" s="170" t="str">
        <x:v>Biceps workout - 90 min; medium-high pump</x:v>
      </x:c>
      <x:c r="J20" s="170" t="str">
        <x:v>Started Medium-High; full EAA+ scoop (100 mg caffeine); no black coffee; no assistance or body swing; incline and concentration curls clean and controlled</x:v>
      </x:c>
      <x:c r="K20" s="59" t="n"/>
      <x:c r="L20" s="59" t="n"/>
      <x:c r="M20" s="59" t="n"/>
      <x:c r="N20" s="59" t="n"/>
      <x:c r="O20" s="59" t="n"/>
      <x:c r="P20" s="59" t="n"/>
      <x:c r="Q20" s="59" t="n"/>
    </x:row>
    <x:row r="21">
      <x:c r="A21" s="220" t="n">
        <x:v>46254</x:v>
      </x:c>
      <x:c r="B21" s="170"/>
      <x:c r="C21" s="170"/>
      <x:c r="D21" s="170" t="str">
        <x:v>Good</x:v>
      </x:c>
      <x:c r="E21" s="170" t="str">
        <x:v>Low final</x:v>
      </x:c>
      <x:c r="F21" s="170" t="str">
        <x:v>Post: normal lower-back pump; little hip pain (side, location, trigger and 0-10 severity To verify); no knee pain reported</x:v>
      </x:c>
      <x:c r="G21" s="170"/>
      <x:c r="H21" s="170"/>
      <x:c r="I21" s="170" t="str">
        <x:v>Leg workout - 100 min; stairs/walking better than last Legs session</x:v>
      </x:c>
      <x:c r="J21" s="170" t="str">
        <x:v>Started Medium; full EAA+ scoop (100 mg caffeine); no coffee; approximately 2-3 assisted reps on 150 kg leg press, all other sets unassisted; pre-session soreness and pre-session knee/hip/lower-back status To verify</x:v>
      </x:c>
      <x:c r="K21" s="59" t="n"/>
      <x:c r="L21" s="59" t="n"/>
      <x:c r="M21" s="59" t="n"/>
      <x:c r="N21" s="59" t="n"/>
      <x:c r="O21" s="59" t="n"/>
      <x:c r="P21" s="59" t="n"/>
      <x:c r="Q21" s="59" t="n"/>
    </x:row>
    <x:row r="22">
      <x:c r="A22" s="220" t="n">
        <x:v>46255</x:v>
      </x:c>
      <x:c r="B22" s="170"/>
      <x:c r="C22" s="170"/>
      <x:c r="D22" s="170" t="str">
        <x:v>Good</x:v>
      </x:c>
      <x:c r="E22" s="170" t="str">
        <x:v>Medium final</x:v>
      </x:c>
      <x:c r="F22" s="170" t="str">
        <x:v>No pain; low-medium shoulder pump; delayed shoulder soreness To verify the following morning</x:v>
      </x:c>
      <x:c r="G22" s="170"/>
      <x:c r="H22" s="170"/>
      <x:c r="I22" s="170" t="str">
        <x:v>Shoulders + 3 x 60-sec plank + 10-min treadmill - 100 min</x:v>
      </x:c>
      <x:c r="J22" s="170" t="str">
        <x:v>Started Medium-High; full EAA+ scoop (100 mg caffeine); no coffee; no assistance; treadmill 12% incline at displayed speed 4 (unit To verify); cable shrug had poor trap sensation and elbow-bend tendency</x:v>
      </x:c>
      <x:c r="K22" s="59" t="n"/>
      <x:c r="L22" s="59" t="n"/>
      <x:c r="M22" s="59" t="n"/>
      <x:c r="N22" s="59" t="n"/>
      <x:c r="O22" s="59" t="n"/>
      <x:c r="P22" s="59" t="n"/>
      <x:c r="Q22" s="59" t="n"/>
    </x:row>
    <x:row r="23">
      <x:c r="A23" s="220" t="n">
        <x:v>46256</x:v>
      </x:c>
      <x:c r="B23" s="170"/>
      <x:c r="C23" s="170"/>
      <x:c r="D23" s="170" t="str">
        <x:v>Good</x:v>
      </x:c>
      <x:c r="E23" s="170" t="str">
        <x:v>Low final</x:v>
      </x:c>
      <x:c r="F23" s="170" t="str">
        <x:v>Very little shoulder soreness, unchanged from pre-workout; no shoulder, elbow or wrist pain</x:v>
      </x:c>
      <x:c r="G23" s="170"/>
      <x:c r="H23" s="170"/>
      <x:c r="I23" s="170" t="str">
        <x:v>Triceps workout - 75 min; 19 working sets; medium pump; no formal cardio/core</x:v>
      </x:c>
      <x:c r="J23" s="170" t="str">
        <x:v>Started Medium; full EAA+ scoop (100 mg caffeine); no coffee; no forced reps; machine-assisted dips were working sets, not forced repetitions; cardio omitted due Low final energy</x:v>
      </x:c>
      <x:c r="K23" s="59" t="n"/>
      <x:c r="L23" s="59" t="n"/>
      <x:c r="M23" s="59" t="n"/>
      <x:c r="N23" s="59" t="n"/>
      <x:c r="O23" s="59" t="n"/>
      <x:c r="P23" s="59" t="n"/>
      <x:c r="Q23" s="59" t="n"/>
    </x:row>
    <x:row r="24">
      <x:c r="A24" s="220" t="n">
        <x:v>46257</x:v>
      </x:c>
      <x:c r="B24" s="170" t="n">
        <x:v>87.7</x:v>
      </x:c>
      <x:c r="C24" s="170" t="n">
        <x:v>96.5</x:v>
      </x:c>
      <x:c r="D24" s="170"/>
      <x:c r="E24" s="170"/>
      <x:c r="F24" s="170"/>
      <x:c r="G24" s="170"/>
      <x:c r="H24" s="170"/>
      <x:c r="I24" s="170" t="str">
        <x:v>Standardized morning body check-in</x:v>
      </x:c>
      <x:c r="J24" s="170" t="str">
        <x:v>Before food/drink; no morning bowel movement because bowel movement occurred around midnight; repeated scale readings 87.6-87.7 kg; 88.7 kg previous-day conditions To verify; abdomen relaxed at navel</x:v>
      </x:c>
      <x:c r="K24" s="59" t="n"/>
      <x:c r="L24" s="59" t="n"/>
      <x:c r="M24" s="59" t="n"/>
      <x:c r="N24" s="59" t="n"/>
      <x:c r="O24" s="59" t="n"/>
      <x:c r="P24" s="59" t="n"/>
      <x:c r="Q24" s="59" t="n"/>
    </x:row>
    <x:row r="25">
      <x:c r="A25" s="220" t="n">
        <x:v>46258</x:v>
      </x:c>
      <x:c r="B25" s="170"/>
      <x:c r="C25" s="170"/>
      <x:c r="D25" s="170" t="str">
        <x:v>Good</x:v>
      </x:c>
      <x:c r="E25" s="170" t="str">
        <x:v>Low final</x:v>
      </x:c>
      <x:c r="F25" s="170" t="str">
        <x:v>No back, biceps, elbow, shoulder or lower-back pain; no unusual sensation reported</x:v>
      </x:c>
      <x:c r="G25" s="170"/>
      <x:c r="H25" s="170"/>
      <x:c r="I25" s="170" t="str">
        <x:v>Back + Biceps workout - 75 min; 20 entries; no cardio/core</x:v>
      </x:c>
      <x:c r="J25" s="170" t="str">
        <x:v>Started Medium-High; full EAA+ scoop (100 mg caffeine); coffee consumed in morning, amount/time To verify; no assistance or breakdown; pre-existing muscular soreness To verify</x:v>
      </x:c>
      <x:c r="K25" s="59" t="n"/>
      <x:c r="L25" s="59" t="n"/>
      <x:c r="M25" s="59" t="n"/>
      <x:c r="N25" s="59" t="n"/>
      <x:c r="O25" s="59" t="n"/>
      <x:c r="P25" s="59" t="n"/>
      <x:c r="Q25" s="59" t="n"/>
    </x:row>
    <x:row r="26">
      <x:c r="A26" s="220" t="n">
        <x:v>46259</x:v>
      </x:c>
      <x:c r="B26" s="170"/>
      <x:c r="C26" s="170"/>
      <x:c r="D26" s="170" t="str">
        <x:v>Good</x:v>
      </x:c>
      <x:c r="E26" s="170" t="str">
        <x:v>Low final</x:v>
      </x:c>
      <x:c r="F26" s="170" t="str">
        <x:v>No chest, shoulder, elbow or wrist pain; strong non-painful upper-biceps/arm pump likely pec-deck-related; exact side To verify</x:v>
      </x:c>
      <x:c r="G26" s="170"/>
      <x:c r="H26" s="170"/>
      <x:c r="I26" s="170" t="str">
        <x:v>Chest + Triceps workout - 75 min; 20 entries; 19 meaningful sets; no cardio/core</x:v>
      </x:c>
      <x:c r="J26" s="170" t="str">
        <x:v>Started Medium; medium chest/triceps pump; full EAA+ scoop (100 mg caffeine); no coffee; no assistance or breakdown; all overhead-rope sets clean; upper-biceps pump felt strongly but not painful</x:v>
      </x:c>
      <x:c r="K26" s="59" t="n"/>
      <x:c r="L26" s="59" t="n"/>
      <x:c r="M26" s="59" t="n"/>
      <x:c r="N26" s="59" t="n"/>
      <x:c r="O26" s="59" t="n"/>
      <x:c r="P26" s="59" t="n"/>
      <x:c r="Q26" s="59" t="n"/>
    </x:row>
    <x:row r="27">
      <x:c r="A27" s="220"/>
      <x:c r="B27" s="170"/>
      <x:c r="C27" s="170"/>
      <x:c r="D27" s="170"/>
      <x:c r="E27" s="170"/>
      <x:c r="F27" s="170"/>
      <x:c r="G27" s="170"/>
      <x:c r="H27" s="170"/>
      <x:c r="I27" s="170"/>
      <x:c r="J27" s="170"/>
      <x:c r="K27" s="59" t="n"/>
      <x:c r="L27" s="59" t="n"/>
      <x:c r="M27" s="59" t="n"/>
      <x:c r="N27" s="59" t="n"/>
      <x:c r="O27" s="59" t="n"/>
      <x:c r="P27" s="59" t="n"/>
      <x:c r="Q27" s="59" t="n"/>
    </x:row>
    <x:row r="28">
      <x:c r="A28" s="220"/>
      <x:c r="B28" s="170"/>
      <x:c r="C28" s="170"/>
      <x:c r="D28" s="170"/>
      <x:c r="E28" s="170"/>
      <x:c r="F28" s="170"/>
      <x:c r="G28" s="170"/>
      <x:c r="H28" s="170"/>
      <x:c r="I28" s="170"/>
      <x:c r="J28" s="170"/>
      <x:c r="K28" s="59" t="n"/>
      <x:c r="L28" s="59" t="n"/>
      <x:c r="M28" s="59" t="n"/>
      <x:c r="N28" s="59" t="n"/>
      <x:c r="O28" s="59" t="n"/>
      <x:c r="P28" s="59" t="n"/>
      <x:c r="Q28" s="59" t="n"/>
    </x:row>
    <x:row r="29">
      <x:c r="A29" s="220"/>
      <x:c r="B29" s="170"/>
      <x:c r="C29" s="170"/>
      <x:c r="D29" s="170"/>
      <x:c r="E29" s="170"/>
      <x:c r="F29" s="170"/>
      <x:c r="G29" s="170"/>
      <x:c r="H29" s="170"/>
      <x:c r="I29" s="170"/>
      <x:c r="J29" s="170"/>
      <x:c r="K29" s="59" t="n"/>
      <x:c r="L29" s="59" t="n"/>
      <x:c r="M29" s="59" t="n"/>
      <x:c r="N29" s="59" t="n"/>
      <x:c r="O29" s="59" t="n"/>
      <x:c r="P29" s="59" t="n"/>
      <x:c r="Q29" s="59" t="n"/>
    </x:row>
    <x:row r="30">
      <x:c r="A30" s="220"/>
      <x:c r="B30" s="170"/>
      <x:c r="C30" s="170"/>
      <x:c r="D30" s="170"/>
      <x:c r="E30" s="170"/>
      <x:c r="F30" s="170"/>
      <x:c r="G30" s="170"/>
      <x:c r="H30" s="170"/>
      <x:c r="I30" s="170"/>
      <x:c r="J30" s="170"/>
      <x:c r="K30" s="59" t="n"/>
      <x:c r="L30" s="59" t="n"/>
      <x:c r="M30" s="59" t="n"/>
      <x:c r="N30" s="59" t="n"/>
      <x:c r="O30" s="59" t="n"/>
      <x:c r="P30" s="59" t="n"/>
      <x:c r="Q30" s="59" t="n"/>
    </x:row>
    <x:row r="31">
      <x:c r="A31"/>
      <x:c r="B31"/>
      <x:c r="C31"/>
      <x:c r="D31"/>
      <x:c r="E31"/>
      <x:c r="F31"/>
      <x:c r="G31"/>
      <x:c r="H31"/>
      <x:c r="I31"/>
      <x:c r="J31"/>
      <x:c r="K31" s="59" t="n"/>
      <x:c r="L31" s="59" t="n"/>
      <x:c r="M31" s="59" t="n"/>
      <x:c r="N31" s="59" t="n"/>
      <x:c r="O31" s="59" t="n"/>
      <x:c r="P31" s="59" t="n"/>
      <x:c r="Q31" s="59" t="n"/>
    </x:row>
    <x:row r="32">
      <x:c r="A32"/>
      <x:c r="B32"/>
      <x:c r="C32"/>
      <x:c r="D32"/>
      <x:c r="E32"/>
      <x:c r="F32"/>
      <x:c r="G32"/>
      <x:c r="H32"/>
      <x:c r="I32"/>
      <x:c r="J32"/>
      <x:c r="K32" s="59" t="n"/>
      <x:c r="L32" s="59" t="n"/>
      <x:c r="M32" s="59" t="n"/>
      <x:c r="N32" s="59" t="n"/>
      <x:c r="O32" s="59" t="n"/>
      <x:c r="P32" s="59" t="n"/>
      <x:c r="Q32" s="59" t="n"/>
    </x:row>
    <x:row r="33">
      <x:c r="A33"/>
      <x:c r="B33"/>
      <x:c r="C33"/>
      <x:c r="D33"/>
      <x:c r="E33"/>
      <x:c r="F33"/>
      <x:c r="G33"/>
      <x:c r="H33"/>
      <x:c r="I33"/>
      <x:c r="J33"/>
      <x:c r="K33" s="59" t="n"/>
      <x:c r="L33" s="59" t="n"/>
      <x:c r="M33" s="59" t="n"/>
      <x:c r="N33" s="59" t="n"/>
      <x:c r="O33" s="59" t="n"/>
      <x:c r="P33" s="59" t="n"/>
      <x:c r="Q33" s="59" t="n"/>
    </x:row>
    <x:row r="34">
      <x:c r="A34"/>
      <x:c r="B34"/>
      <x:c r="C34"/>
      <x:c r="D34"/>
      <x:c r="E34"/>
      <x:c r="F34"/>
      <x:c r="G34"/>
      <x:c r="H34"/>
      <x:c r="I34"/>
      <x:c r="J34"/>
      <x:c r="K34" s="59" t="n"/>
      <x:c r="L34" s="59" t="n"/>
      <x:c r="M34" s="59" t="n"/>
      <x:c r="N34" s="59" t="n"/>
      <x:c r="O34" s="59" t="n"/>
      <x:c r="P34" s="59" t="n"/>
      <x:c r="Q34" s="59" t="n"/>
    </x:row>
    <x:row r="35">
      <x:c r="A35"/>
      <x:c r="B35"/>
      <x:c r="C35"/>
      <x:c r="D35"/>
      <x:c r="E35"/>
      <x:c r="F35"/>
      <x:c r="G35"/>
      <x:c r="H35"/>
      <x:c r="I35"/>
      <x:c r="J35"/>
      <x:c r="K35" s="59" t="n"/>
      <x:c r="L35" s="59" t="n"/>
      <x:c r="M35" s="59" t="n"/>
      <x:c r="N35" s="59" t="n"/>
      <x:c r="O35" s="59" t="n"/>
      <x:c r="P35" s="59" t="n"/>
      <x:c r="Q35" s="59" t="n"/>
    </x:row>
    <x:row r="36">
      <x:c r="A36"/>
      <x:c r="B36"/>
      <x:c r="C36"/>
      <x:c r="D36"/>
      <x:c r="E36"/>
      <x:c r="F36"/>
      <x:c r="G36"/>
      <x:c r="H36"/>
      <x:c r="I36"/>
      <x:c r="J36"/>
      <x:c r="K36" s="59" t="n"/>
      <x:c r="L36" s="59" t="n"/>
      <x:c r="M36" s="59" t="n"/>
      <x:c r="N36" s="59" t="n"/>
      <x:c r="O36" s="59" t="n"/>
      <x:c r="P36" s="59" t="n"/>
      <x:c r="Q36" s="59" t="n"/>
    </x:row>
    <x:row r="37">
      <x:c r="A37"/>
      <x:c r="B37"/>
      <x:c r="C37"/>
      <x:c r="D37"/>
      <x:c r="E37"/>
      <x:c r="F37"/>
      <x:c r="G37"/>
      <x:c r="H37"/>
      <x:c r="I37"/>
      <x:c r="J37"/>
      <x:c r="K37" s="59" t="n"/>
      <x:c r="L37" s="59" t="n"/>
      <x:c r="M37" s="59" t="n"/>
      <x:c r="N37" s="59" t="n"/>
      <x:c r="O37" s="59" t="n"/>
      <x:c r="P37" s="59" t="n"/>
      <x:c r="Q37" s="59" t="n"/>
    </x:row>
    <x:row r="38">
      <x:c r="A38"/>
      <x:c r="B38"/>
      <x:c r="C38"/>
      <x:c r="D38"/>
      <x:c r="E38"/>
      <x:c r="F38"/>
      <x:c r="G38"/>
      <x:c r="H38"/>
      <x:c r="I38"/>
      <x:c r="J38"/>
      <x:c r="K38" s="59" t="n"/>
      <x:c r="L38" s="59" t="n"/>
      <x:c r="M38" s="59" t="n"/>
      <x:c r="N38" s="59" t="n"/>
      <x:c r="O38" s="59" t="n"/>
      <x:c r="P38" s="59" t="n"/>
      <x:c r="Q38" s="59" t="n"/>
    </x:row>
    <x:row r="39">
      <x:c r="A39"/>
      <x:c r="B39"/>
      <x:c r="C39"/>
      <x:c r="D39"/>
      <x:c r="E39"/>
      <x:c r="F39"/>
      <x:c r="G39"/>
      <x:c r="H39"/>
      <x:c r="I39"/>
      <x:c r="J39"/>
      <x:c r="K39" s="59" t="n"/>
      <x:c r="L39" s="59" t="n"/>
      <x:c r="M39" s="59" t="n"/>
      <x:c r="N39" s="59" t="n"/>
      <x:c r="O39" s="59" t="n"/>
      <x:c r="P39" s="59" t="n"/>
      <x:c r="Q39" s="59" t="n"/>
    </x:row>
    <x:row r="40">
      <x:c r="A40"/>
      <x:c r="B40"/>
      <x:c r="C40"/>
      <x:c r="D40"/>
      <x:c r="E40"/>
      <x:c r="F40"/>
      <x:c r="G40"/>
      <x:c r="H40"/>
      <x:c r="I40"/>
      <x:c r="J40"/>
      <x:c r="K40" s="59" t="n"/>
      <x:c r="L40" s="59" t="n"/>
      <x:c r="M40" s="59" t="n"/>
      <x:c r="N40" s="59" t="n"/>
      <x:c r="O40" s="59" t="n"/>
      <x:c r="P40" s="59" t="n"/>
      <x:c r="Q40" s="59" t="n"/>
    </x:row>
    <x:row r="41">
      <x:c r="A41"/>
      <x:c r="B41"/>
      <x:c r="C41"/>
      <x:c r="D41"/>
      <x:c r="E41"/>
      <x:c r="F41"/>
      <x:c r="G41"/>
      <x:c r="H41"/>
      <x:c r="I41"/>
      <x:c r="J41"/>
      <x:c r="K41" s="59" t="n"/>
      <x:c r="L41" s="59" t="n"/>
      <x:c r="M41" s="59" t="n"/>
      <x:c r="N41" s="59" t="n"/>
      <x:c r="O41" s="59" t="n"/>
      <x:c r="P41" s="59" t="n"/>
      <x:c r="Q41" s="59" t="n"/>
    </x:row>
    <x:row r="42">
      <x:c r="A42"/>
      <x:c r="B42"/>
      <x:c r="C42"/>
      <x:c r="D42"/>
      <x:c r="E42"/>
      <x:c r="F42"/>
      <x:c r="G42"/>
      <x:c r="H42"/>
      <x:c r="I42"/>
      <x:c r="J42"/>
      <x:c r="K42" s="59" t="n"/>
      <x:c r="L42" s="59" t="n"/>
      <x:c r="M42" s="59" t="n"/>
      <x:c r="N42" s="59" t="n"/>
      <x:c r="O42" s="59" t="n"/>
      <x:c r="P42" s="59" t="n"/>
      <x:c r="Q42" s="59" t="n"/>
    </x:row>
    <x:row r="43">
      <x:c r="A43"/>
      <x:c r="B43"/>
      <x:c r="C43"/>
      <x:c r="D43"/>
      <x:c r="E43"/>
      <x:c r="F43"/>
      <x:c r="G43"/>
      <x:c r="H43"/>
      <x:c r="I43"/>
      <x:c r="J43"/>
      <x:c r="K43" s="59" t="n"/>
      <x:c r="L43" s="59" t="n"/>
      <x:c r="M43" s="59" t="n"/>
      <x:c r="N43" s="59" t="n"/>
      <x:c r="O43" s="59" t="n"/>
      <x:c r="P43" s="59" t="n"/>
      <x:c r="Q43" s="59" t="n"/>
    </x:row>
    <x:row r="44">
      <x:c r="A44"/>
      <x:c r="B44"/>
      <x:c r="C44"/>
      <x:c r="D44"/>
      <x:c r="E44"/>
      <x:c r="F44"/>
      <x:c r="G44"/>
      <x:c r="H44"/>
      <x:c r="I44"/>
      <x:c r="J44"/>
      <x:c r="K44" s="59" t="n"/>
      <x:c r="L44" s="59" t="n"/>
      <x:c r="M44" s="59" t="n"/>
      <x:c r="N44" s="59" t="n"/>
      <x:c r="O44" s="59" t="n"/>
      <x:c r="P44" s="59" t="n"/>
      <x:c r="Q44" s="59" t="n"/>
    </x:row>
    <x:row r="45">
      <x:c r="A45"/>
      <x:c r="B45"/>
      <x:c r="C45"/>
      <x:c r="D45"/>
      <x:c r="E45"/>
      <x:c r="F45"/>
      <x:c r="G45"/>
      <x:c r="H45"/>
      <x:c r="I45"/>
      <x:c r="J45"/>
      <x:c r="K45" s="59" t="n"/>
      <x:c r="L45" s="59" t="n"/>
      <x:c r="M45" s="59" t="n"/>
      <x:c r="N45" s="59" t="n"/>
      <x:c r="O45" s="59" t="n"/>
      <x:c r="P45" s="59" t="n"/>
      <x:c r="Q45" s="59" t="n"/>
    </x:row>
    <x:row r="46">
      <x:c r="A46"/>
      <x:c r="B46"/>
      <x:c r="C46"/>
      <x:c r="D46"/>
      <x:c r="E46"/>
      <x:c r="F46"/>
      <x:c r="G46"/>
      <x:c r="H46"/>
      <x:c r="I46"/>
      <x:c r="J46"/>
      <x:c r="K46" s="59" t="n"/>
      <x:c r="L46" s="59" t="n"/>
      <x:c r="M46" s="59" t="n"/>
      <x:c r="N46" s="59" t="n"/>
      <x:c r="O46" s="59" t="n"/>
      <x:c r="P46" s="59" t="n"/>
      <x:c r="Q46" s="59" t="n"/>
    </x:row>
    <x:row r="47">
      <x:c r="A47"/>
      <x:c r="B47"/>
      <x:c r="C47"/>
      <x:c r="D47"/>
      <x:c r="E47"/>
      <x:c r="F47"/>
      <x:c r="G47"/>
      <x:c r="H47"/>
      <x:c r="I47"/>
      <x:c r="J47"/>
      <x:c r="K47" s="59" t="n"/>
      <x:c r="L47" s="59" t="n"/>
      <x:c r="M47" s="59" t="n"/>
      <x:c r="N47" s="59" t="n"/>
      <x:c r="O47" s="59" t="n"/>
      <x:c r="P47" s="59" t="n"/>
      <x:c r="Q47" s="59" t="n"/>
    </x:row>
    <x:row r="48">
      <x:c r="A48"/>
      <x:c r="B48"/>
      <x:c r="C48"/>
      <x:c r="D48"/>
      <x:c r="E48"/>
      <x:c r="F48"/>
      <x:c r="G48"/>
      <x:c r="H48"/>
      <x:c r="I48"/>
      <x:c r="J48"/>
      <x:c r="K48" s="59" t="n"/>
      <x:c r="L48" s="59" t="n"/>
      <x:c r="M48" s="59" t="n"/>
      <x:c r="N48" s="59" t="n"/>
      <x:c r="O48" s="59" t="n"/>
      <x:c r="P48" s="59" t="n"/>
      <x:c r="Q48" s="59" t="n"/>
    </x:row>
    <x:row r="49">
      <x:c r="A49"/>
      <x:c r="B49"/>
      <x:c r="C49"/>
      <x:c r="D49"/>
      <x:c r="E49"/>
      <x:c r="F49"/>
      <x:c r="G49"/>
      <x:c r="H49"/>
      <x:c r="I49"/>
      <x:c r="J49"/>
      <x:c r="K49" s="59" t="n"/>
      <x:c r="L49" s="59" t="n"/>
      <x:c r="M49" s="59" t="n"/>
      <x:c r="N49" s="59" t="n"/>
      <x:c r="O49" s="59" t="n"/>
      <x:c r="P49" s="59" t="n"/>
      <x:c r="Q49" s="59" t="n"/>
    </x:row>
    <x:row r="50">
      <x:c r="A50"/>
      <x:c r="B50"/>
      <x:c r="C50"/>
      <x:c r="D50"/>
      <x:c r="E50"/>
      <x:c r="F50"/>
      <x:c r="G50"/>
      <x:c r="H50"/>
      <x:c r="I50"/>
      <x:c r="J50"/>
      <x:c r="K50" s="59" t="n"/>
      <x:c r="L50" s="59" t="n"/>
      <x:c r="M50" s="59" t="n"/>
      <x:c r="N50" s="59" t="n"/>
      <x:c r="O50" s="59" t="n"/>
      <x:c r="P50" s="59" t="n"/>
      <x:c r="Q50" s="59" t="n"/>
    </x:row>
    <x:row r="51">
      <x:c r="A51"/>
      <x:c r="B51"/>
      <x:c r="C51"/>
      <x:c r="D51"/>
      <x:c r="E51"/>
      <x:c r="F51"/>
      <x:c r="G51"/>
      <x:c r="H51"/>
      <x:c r="I51"/>
      <x:c r="J51"/>
      <x:c r="K51" s="59" t="n"/>
      <x:c r="L51" s="59" t="n"/>
      <x:c r="M51" s="59" t="n"/>
      <x:c r="N51" s="59" t="n"/>
      <x:c r="O51" s="59" t="n"/>
      <x:c r="P51" s="59" t="n"/>
      <x:c r="Q51" s="59" t="n"/>
    </x:row>
    <x:row r="52">
      <x:c r="A52"/>
      <x:c r="B52"/>
      <x:c r="C52"/>
      <x:c r="D52"/>
      <x:c r="E52"/>
      <x:c r="F52"/>
      <x:c r="G52"/>
      <x:c r="H52"/>
      <x:c r="I52"/>
      <x:c r="J52"/>
      <x:c r="K52" s="59" t="n"/>
      <x:c r="L52" s="59" t="n"/>
      <x:c r="M52" s="59" t="n"/>
      <x:c r="N52" s="59" t="n"/>
      <x:c r="O52" s="59" t="n"/>
      <x:c r="P52" s="59" t="n"/>
      <x:c r="Q52" s="59" t="n"/>
    </x:row>
    <x:row r="53">
      <x:c r="A53"/>
      <x:c r="B53"/>
      <x:c r="C53"/>
      <x:c r="D53"/>
      <x:c r="E53"/>
      <x:c r="F53"/>
      <x:c r="G53"/>
      <x:c r="H53"/>
      <x:c r="I53"/>
      <x:c r="J53"/>
      <x:c r="K53" s="59" t="n"/>
      <x:c r="L53" s="59" t="n"/>
      <x:c r="M53" s="59" t="n"/>
      <x:c r="N53" s="59" t="n"/>
      <x:c r="O53" s="59" t="n"/>
      <x:c r="P53" s="59" t="n"/>
      <x:c r="Q53" s="59" t="n"/>
    </x:row>
    <x:row r="54">
      <x:c r="A54"/>
      <x:c r="B54"/>
      <x:c r="C54"/>
      <x:c r="D54"/>
      <x:c r="E54"/>
      <x:c r="F54"/>
      <x:c r="G54"/>
      <x:c r="H54"/>
      <x:c r="I54"/>
      <x:c r="J54"/>
      <x:c r="K54" s="59" t="n"/>
      <x:c r="L54" s="59" t="n"/>
      <x:c r="M54" s="59" t="n"/>
      <x:c r="N54" s="59" t="n"/>
      <x:c r="O54" s="59" t="n"/>
      <x:c r="P54" s="59" t="n"/>
      <x:c r="Q54" s="59" t="n"/>
    </x:row>
    <x:row r="55">
      <x:c r="A55"/>
      <x:c r="B55"/>
      <x:c r="C55"/>
      <x:c r="D55"/>
      <x:c r="E55"/>
      <x:c r="F55"/>
      <x:c r="G55"/>
      <x:c r="H55"/>
      <x:c r="I55"/>
      <x:c r="J55"/>
      <x:c r="K55" s="59" t="n"/>
      <x:c r="L55" s="59" t="n"/>
      <x:c r="M55" s="59" t="n"/>
      <x:c r="N55" s="59" t="n"/>
      <x:c r="O55" s="59" t="n"/>
      <x:c r="P55" s="59" t="n"/>
      <x:c r="Q55" s="59" t="n"/>
    </x:row>
    <x:row r="56">
      <x:c r="A56"/>
      <x:c r="B56"/>
      <x:c r="C56"/>
      <x:c r="D56"/>
      <x:c r="E56"/>
      <x:c r="F56"/>
      <x:c r="G56"/>
      <x:c r="H56"/>
      <x:c r="I56"/>
      <x:c r="J56"/>
      <x:c r="K56" s="59" t="n"/>
      <x:c r="L56" s="59" t="n"/>
      <x:c r="M56" s="59" t="n"/>
      <x:c r="N56" s="59" t="n"/>
      <x:c r="O56" s="59" t="n"/>
      <x:c r="P56" s="59" t="n"/>
      <x:c r="Q56" s="59" t="n"/>
    </x:row>
    <x:row r="57">
      <x:c r="A57"/>
      <x:c r="B57"/>
      <x:c r="C57"/>
      <x:c r="D57"/>
      <x:c r="E57"/>
      <x:c r="F57"/>
      <x:c r="G57"/>
      <x:c r="H57"/>
      <x:c r="I57"/>
      <x:c r="J57"/>
      <x:c r="K57" s="59" t="n"/>
      <x:c r="L57" s="59" t="n"/>
      <x:c r="M57" s="59" t="n"/>
      <x:c r="N57" s="59" t="n"/>
      <x:c r="O57" s="59" t="n"/>
      <x:c r="P57" s="59" t="n"/>
      <x:c r="Q57" s="59" t="n"/>
    </x:row>
    <x:row r="58">
      <x:c r="A58"/>
      <x:c r="B58"/>
      <x:c r="C58"/>
      <x:c r="D58"/>
      <x:c r="E58"/>
      <x:c r="F58"/>
      <x:c r="G58"/>
      <x:c r="H58"/>
      <x:c r="I58"/>
      <x:c r="J58"/>
      <x:c r="K58" s="59" t="n"/>
      <x:c r="L58" s="59" t="n"/>
      <x:c r="M58" s="59" t="n"/>
      <x:c r="N58" s="59" t="n"/>
      <x:c r="O58" s="59" t="n"/>
      <x:c r="P58" s="59" t="n"/>
      <x:c r="Q58" s="59" t="n"/>
    </x:row>
    <x:row r="59">
      <x:c r="A59"/>
      <x:c r="B59"/>
      <x:c r="C59"/>
      <x:c r="D59"/>
      <x:c r="E59"/>
      <x:c r="F59"/>
      <x:c r="G59"/>
      <x:c r="H59"/>
      <x:c r="I59"/>
      <x:c r="J59"/>
      <x:c r="K59" s="59" t="n"/>
      <x:c r="L59" s="59" t="n"/>
      <x:c r="M59" s="59" t="n"/>
      <x:c r="N59" s="59" t="n"/>
      <x:c r="O59" s="59" t="n"/>
      <x:c r="P59" s="59" t="n"/>
      <x:c r="Q59" s="59" t="n"/>
    </x:row>
    <x:row r="60">
      <x:c r="A60"/>
      <x:c r="B60"/>
      <x:c r="C60"/>
      <x:c r="D60"/>
      <x:c r="E60"/>
      <x:c r="F60"/>
      <x:c r="G60"/>
      <x:c r="H60"/>
      <x:c r="I60"/>
      <x:c r="J60"/>
      <x:c r="K60" s="59" t="n"/>
      <x:c r="L60" s="59" t="n"/>
      <x:c r="M60" s="59" t="n"/>
      <x:c r="N60" s="59" t="n"/>
      <x:c r="O60" s="59" t="n"/>
      <x:c r="P60" s="59" t="n"/>
      <x:c r="Q60" s="59" t="n"/>
    </x:row>
    <x:row r="61">
      <x:c r="A61"/>
      <x:c r="B61"/>
      <x:c r="C61"/>
      <x:c r="D61"/>
      <x:c r="E61"/>
      <x:c r="F61"/>
      <x:c r="G61"/>
      <x:c r="H61"/>
      <x:c r="I61"/>
      <x:c r="J61"/>
      <x:c r="K61" s="59" t="n"/>
      <x:c r="L61" s="59" t="n"/>
      <x:c r="M61" s="59" t="n"/>
      <x:c r="N61" s="59" t="n"/>
      <x:c r="O61" s="59" t="n"/>
      <x:c r="P61" s="59" t="n"/>
      <x:c r="Q61" s="59" t="n"/>
    </x:row>
    <x:row r="62">
      <x:c r="A62"/>
      <x:c r="B62"/>
      <x:c r="C62"/>
      <x:c r="D62"/>
      <x:c r="E62"/>
      <x:c r="F62"/>
      <x:c r="G62"/>
      <x:c r="H62"/>
      <x:c r="I62"/>
      <x:c r="J62"/>
      <x:c r="K62" s="59" t="n"/>
      <x:c r="L62" s="59" t="n"/>
      <x:c r="M62" s="59" t="n"/>
      <x:c r="N62" s="59" t="n"/>
      <x:c r="O62" s="59" t="n"/>
      <x:c r="P62" s="59" t="n"/>
      <x:c r="Q62" s="59" t="n"/>
    </x:row>
    <x:row r="63">
      <x:c r="A63"/>
      <x:c r="B63"/>
      <x:c r="C63"/>
      <x:c r="D63"/>
      <x:c r="E63"/>
      <x:c r="F63"/>
      <x:c r="G63"/>
      <x:c r="H63"/>
      <x:c r="I63"/>
      <x:c r="J63"/>
      <x:c r="K63" s="59" t="n"/>
      <x:c r="L63" s="59" t="n"/>
      <x:c r="M63" s="59" t="n"/>
      <x:c r="N63" s="59" t="n"/>
      <x:c r="O63" s="59" t="n"/>
      <x:c r="P63" s="59" t="n"/>
      <x:c r="Q63" s="59" t="n"/>
    </x:row>
    <x:row r="64">
      <x:c r="A64"/>
      <x:c r="B64"/>
      <x:c r="C64"/>
      <x:c r="D64"/>
      <x:c r="E64"/>
      <x:c r="F64"/>
      <x:c r="G64"/>
      <x:c r="H64"/>
      <x:c r="I64"/>
      <x:c r="J64"/>
      <x:c r="K64" s="59" t="n"/>
      <x:c r="L64" s="59" t="n"/>
      <x:c r="M64" s="59" t="n"/>
      <x:c r="N64" s="59" t="n"/>
      <x:c r="O64" s="59" t="n"/>
      <x:c r="P64" s="59" t="n"/>
      <x:c r="Q64" s="59" t="n"/>
    </x:row>
    <x:row r="65">
      <x:c r="A65"/>
      <x:c r="B65"/>
      <x:c r="C65"/>
      <x:c r="D65"/>
      <x:c r="E65"/>
      <x:c r="F65"/>
      <x:c r="G65"/>
      <x:c r="H65"/>
      <x:c r="I65"/>
      <x:c r="J65"/>
      <x:c r="K65" s="59" t="n"/>
      <x:c r="L65" s="59" t="n"/>
      <x:c r="M65" s="59" t="n"/>
      <x:c r="N65" s="59" t="n"/>
      <x:c r="O65" s="59" t="n"/>
      <x:c r="P65" s="59" t="n"/>
      <x:c r="Q65" s="59" t="n"/>
    </x:row>
    <x:row r="66">
      <x:c r="A66"/>
      <x:c r="B66"/>
      <x:c r="C66"/>
      <x:c r="D66"/>
      <x:c r="E66"/>
      <x:c r="F66"/>
      <x:c r="G66"/>
      <x:c r="H66"/>
      <x:c r="I66"/>
      <x:c r="J66"/>
      <x:c r="K66" s="59" t="n"/>
      <x:c r="L66" s="59" t="n"/>
      <x:c r="M66" s="59" t="n"/>
      <x:c r="N66" s="59" t="n"/>
      <x:c r="O66" s="59" t="n"/>
      <x:c r="P66" s="59" t="n"/>
      <x:c r="Q66" s="59" t="n"/>
    </x:row>
    <x:row r="67">
      <x:c r="A67"/>
      <x:c r="B67"/>
      <x:c r="C67"/>
      <x:c r="D67"/>
      <x:c r="E67"/>
      <x:c r="F67"/>
      <x:c r="G67"/>
      <x:c r="H67"/>
      <x:c r="I67"/>
      <x:c r="J67"/>
      <x:c r="K67" s="59" t="n"/>
      <x:c r="L67" s="59" t="n"/>
      <x:c r="M67" s="59" t="n"/>
      <x:c r="N67" s="59" t="n"/>
      <x:c r="O67" s="59" t="n"/>
      <x:c r="P67" s="59" t="n"/>
      <x:c r="Q67" s="59" t="n"/>
    </x:row>
    <x:row r="68">
      <x:c r="A68"/>
      <x:c r="B68"/>
      <x:c r="C68"/>
      <x:c r="D68"/>
      <x:c r="E68"/>
      <x:c r="F68"/>
      <x:c r="G68"/>
      <x:c r="H68"/>
      <x:c r="I68"/>
      <x:c r="J68"/>
      <x:c r="K68" s="59" t="n"/>
      <x:c r="L68" s="59" t="n"/>
      <x:c r="M68" s="59" t="n"/>
      <x:c r="N68" s="59" t="n"/>
      <x:c r="O68" s="59" t="n"/>
      <x:c r="P68" s="59" t="n"/>
      <x:c r="Q68" s="59" t="n"/>
    </x:row>
    <x:row r="69">
      <x:c r="A69"/>
      <x:c r="B69"/>
      <x:c r="C69"/>
      <x:c r="D69"/>
      <x:c r="E69"/>
      <x:c r="F69"/>
      <x:c r="G69"/>
      <x:c r="H69"/>
      <x:c r="I69"/>
      <x:c r="J69"/>
      <x:c r="K69" s="59" t="n"/>
      <x:c r="L69" s="59" t="n"/>
      <x:c r="M69" s="59" t="n"/>
      <x:c r="N69" s="59" t="n"/>
      <x:c r="O69" s="59" t="n"/>
      <x:c r="P69" s="59" t="n"/>
      <x:c r="Q69" s="59" t="n"/>
    </x:row>
    <x:row r="70">
      <x:c r="A70"/>
      <x:c r="B70"/>
      <x:c r="C70"/>
      <x:c r="D70"/>
      <x:c r="E70"/>
      <x:c r="F70"/>
      <x:c r="G70"/>
      <x:c r="H70"/>
      <x:c r="I70"/>
      <x:c r="J70"/>
      <x:c r="K70" s="59" t="n"/>
      <x:c r="L70" s="59" t="n"/>
      <x:c r="M70" s="59" t="n"/>
      <x:c r="N70" s="59" t="n"/>
      <x:c r="O70" s="59" t="n"/>
      <x:c r="P70" s="59" t="n"/>
      <x:c r="Q70" s="59" t="n"/>
    </x:row>
    <x:row r="71">
      <x:c r="A71"/>
      <x:c r="B71"/>
      <x:c r="C71"/>
      <x:c r="D71"/>
      <x:c r="E71"/>
      <x:c r="F71"/>
      <x:c r="G71"/>
      <x:c r="H71"/>
      <x:c r="I71"/>
      <x:c r="J71"/>
      <x:c r="K71" s="59" t="n"/>
      <x:c r="L71" s="59" t="n"/>
      <x:c r="M71" s="59" t="n"/>
      <x:c r="N71" s="59" t="n"/>
      <x:c r="O71" s="59" t="n"/>
      <x:c r="P71" s="59" t="n"/>
      <x:c r="Q71" s="59" t="n"/>
    </x:row>
    <x:row r="72">
      <x:c r="A72"/>
      <x:c r="B72"/>
      <x:c r="C72"/>
      <x:c r="D72"/>
      <x:c r="E72"/>
      <x:c r="F72"/>
      <x:c r="G72"/>
      <x:c r="H72"/>
      <x:c r="I72"/>
      <x:c r="J72"/>
      <x:c r="K72" s="59" t="n"/>
      <x:c r="L72" s="59" t="n"/>
      <x:c r="M72" s="59" t="n"/>
      <x:c r="N72" s="59" t="n"/>
      <x:c r="O72" s="59" t="n"/>
      <x:c r="P72" s="59" t="n"/>
      <x:c r="Q72" s="59" t="n"/>
    </x:row>
    <x:row r="73">
      <x:c r="A73"/>
      <x:c r="B73"/>
      <x:c r="C73"/>
      <x:c r="D73"/>
      <x:c r="E73"/>
      <x:c r="F73"/>
      <x:c r="G73"/>
      <x:c r="H73"/>
      <x:c r="I73"/>
      <x:c r="J73"/>
      <x:c r="K73" s="59" t="n"/>
      <x:c r="L73" s="59" t="n"/>
      <x:c r="M73" s="59" t="n"/>
      <x:c r="N73" s="59" t="n"/>
      <x:c r="O73" s="59" t="n"/>
      <x:c r="P73" s="59" t="n"/>
      <x:c r="Q73" s="59" t="n"/>
    </x:row>
    <x:row r="74">
      <x:c r="A74"/>
      <x:c r="B74"/>
      <x:c r="C74"/>
      <x:c r="D74"/>
      <x:c r="E74"/>
      <x:c r="F74"/>
      <x:c r="G74"/>
      <x:c r="H74"/>
      <x:c r="I74"/>
      <x:c r="J74"/>
      <x:c r="K74" s="59" t="n"/>
      <x:c r="L74" s="59" t="n"/>
      <x:c r="M74" s="59" t="n"/>
      <x:c r="N74" s="59" t="n"/>
      <x:c r="O74" s="59" t="n"/>
      <x:c r="P74" s="59" t="n"/>
      <x:c r="Q74" s="59" t="n"/>
    </x:row>
    <x:row r="75">
      <x:c r="A75"/>
      <x:c r="B75"/>
      <x:c r="C75"/>
      <x:c r="D75"/>
      <x:c r="E75"/>
      <x:c r="F75"/>
      <x:c r="G75"/>
      <x:c r="H75"/>
      <x:c r="I75"/>
      <x:c r="J75"/>
      <x:c r="K75" s="59" t="n"/>
      <x:c r="L75" s="59" t="n"/>
      <x:c r="M75" s="59" t="n"/>
      <x:c r="N75" s="59" t="n"/>
      <x:c r="O75" s="59" t="n"/>
      <x:c r="P75" s="59" t="n"/>
      <x:c r="Q75" s="59" t="n"/>
    </x:row>
    <x:row r="76">
      <x:c r="A76"/>
      <x:c r="B76"/>
      <x:c r="C76"/>
      <x:c r="D76"/>
      <x:c r="E76"/>
      <x:c r="F76"/>
      <x:c r="G76"/>
      <x:c r="H76"/>
      <x:c r="I76"/>
      <x:c r="J76"/>
      <x:c r="K76" s="59" t="n"/>
      <x:c r="L76" s="59" t="n"/>
      <x:c r="M76" s="59" t="n"/>
      <x:c r="N76" s="59" t="n"/>
      <x:c r="O76" s="59" t="n"/>
      <x:c r="P76" s="59" t="n"/>
      <x:c r="Q76" s="59" t="n"/>
    </x:row>
    <x:row r="77">
      <x:c r="A77"/>
      <x:c r="B77"/>
      <x:c r="C77"/>
      <x:c r="D77"/>
      <x:c r="E77"/>
      <x:c r="F77"/>
      <x:c r="G77"/>
      <x:c r="H77"/>
      <x:c r="I77"/>
      <x:c r="J77"/>
      <x:c r="K77" s="59" t="n"/>
      <x:c r="L77" s="59" t="n"/>
      <x:c r="M77" s="59" t="n"/>
      <x:c r="N77" s="59" t="n"/>
      <x:c r="O77" s="59" t="n"/>
      <x:c r="P77" s="59" t="n"/>
      <x:c r="Q77" s="59" t="n"/>
    </x:row>
    <x:row r="78">
      <x:c r="A78"/>
      <x:c r="B78"/>
      <x:c r="C78"/>
      <x:c r="D78"/>
      <x:c r="E78"/>
      <x:c r="F78"/>
      <x:c r="G78"/>
      <x:c r="H78"/>
      <x:c r="I78"/>
      <x:c r="J78"/>
      <x:c r="K78" s="59" t="n"/>
      <x:c r="L78" s="59" t="n"/>
      <x:c r="M78" s="59" t="n"/>
      <x:c r="N78" s="59" t="n"/>
      <x:c r="O78" s="59" t="n"/>
      <x:c r="P78" s="59" t="n"/>
      <x:c r="Q78" s="59" t="n"/>
    </x:row>
    <x:row r="79">
      <x:c r="A79"/>
      <x:c r="B79"/>
      <x:c r="C79"/>
      <x:c r="D79"/>
      <x:c r="E79"/>
      <x:c r="F79"/>
      <x:c r="G79"/>
      <x:c r="H79"/>
      <x:c r="I79"/>
      <x:c r="J79"/>
      <x:c r="K79" s="59" t="n"/>
      <x:c r="L79" s="59" t="n"/>
      <x:c r="M79" s="59" t="n"/>
      <x:c r="N79" s="59" t="n"/>
      <x:c r="O79" s="59" t="n"/>
      <x:c r="P79" s="59" t="n"/>
      <x:c r="Q79" s="59" t="n"/>
    </x:row>
    <x:row r="80">
      <x:c r="A80"/>
      <x:c r="B80"/>
      <x:c r="C80"/>
      <x:c r="D80"/>
      <x:c r="E80"/>
      <x:c r="F80"/>
      <x:c r="G80"/>
      <x:c r="H80"/>
      <x:c r="I80"/>
      <x:c r="J80"/>
      <x:c r="K80" s="59" t="n"/>
      <x:c r="L80" s="59" t="n"/>
      <x:c r="M80" s="59" t="n"/>
      <x:c r="N80" s="59" t="n"/>
      <x:c r="O80" s="59" t="n"/>
      <x:c r="P80" s="59" t="n"/>
      <x:c r="Q80" s="59" t="n"/>
    </x:row>
    <x:row r="81">
      <x:c r="A81"/>
      <x:c r="B81"/>
      <x:c r="C81"/>
      <x:c r="D81"/>
      <x:c r="E81"/>
      <x:c r="F81"/>
      <x:c r="G81"/>
      <x:c r="H81"/>
      <x:c r="I81"/>
      <x:c r="J81"/>
      <x:c r="K81" s="59" t="n"/>
      <x:c r="L81" s="59" t="n"/>
      <x:c r="M81" s="59" t="n"/>
      <x:c r="N81" s="59" t="n"/>
      <x:c r="O81" s="59" t="n"/>
      <x:c r="P81" s="59" t="n"/>
      <x:c r="Q81" s="59" t="n"/>
    </x:row>
    <x:row r="82">
      <x:c r="A82"/>
      <x:c r="B82"/>
      <x:c r="C82"/>
      <x:c r="D82"/>
      <x:c r="E82"/>
      <x:c r="F82"/>
      <x:c r="G82"/>
      <x:c r="H82"/>
      <x:c r="I82"/>
      <x:c r="J82"/>
      <x:c r="K82" s="59" t="n"/>
      <x:c r="L82" s="59" t="n"/>
      <x:c r="M82" s="59" t="n"/>
      <x:c r="N82" s="59" t="n"/>
      <x:c r="O82" s="59" t="n"/>
      <x:c r="P82" s="59" t="n"/>
      <x:c r="Q82" s="59" t="n"/>
    </x:row>
    <x:row r="83">
      <x:c r="A83"/>
      <x:c r="B83"/>
      <x:c r="C83"/>
      <x:c r="D83"/>
      <x:c r="E83"/>
      <x:c r="F83"/>
      <x:c r="G83"/>
      <x:c r="H83"/>
      <x:c r="I83"/>
      <x:c r="J83"/>
      <x:c r="K83" s="59" t="n"/>
      <x:c r="L83" s="59" t="n"/>
      <x:c r="M83" s="59" t="n"/>
      <x:c r="N83" s="59" t="n"/>
      <x:c r="O83" s="59" t="n"/>
      <x:c r="P83" s="59" t="n"/>
      <x:c r="Q83" s="59" t="n"/>
    </x:row>
    <x:row r="84">
      <x:c r="A84"/>
      <x:c r="B84"/>
      <x:c r="C84"/>
      <x:c r="D84"/>
      <x:c r="E84"/>
      <x:c r="F84"/>
      <x:c r="G84"/>
      <x:c r="H84"/>
      <x:c r="I84"/>
      <x:c r="J84"/>
      <x:c r="K84" s="59" t="n"/>
      <x:c r="L84" s="59" t="n"/>
      <x:c r="M84" s="59" t="n"/>
      <x:c r="N84" s="59" t="n"/>
      <x:c r="O84" s="59" t="n"/>
      <x:c r="P84" s="59" t="n"/>
      <x:c r="Q84" s="59" t="n"/>
    </x:row>
    <x:row r="85">
      <x:c r="A85"/>
      <x:c r="B85"/>
      <x:c r="C85"/>
      <x:c r="D85"/>
      <x:c r="E85"/>
      <x:c r="F85"/>
      <x:c r="G85"/>
      <x:c r="H85"/>
      <x:c r="I85"/>
      <x:c r="J85"/>
      <x:c r="K85" s="59" t="n"/>
      <x:c r="L85" s="59" t="n"/>
      <x:c r="M85" s="59" t="n"/>
      <x:c r="N85" s="59" t="n"/>
      <x:c r="O85" s="59" t="n"/>
      <x:c r="P85" s="59" t="n"/>
      <x:c r="Q85" s="59" t="n"/>
    </x:row>
    <x:row r="86">
      <x:c r="A86"/>
      <x:c r="B86"/>
      <x:c r="C86"/>
      <x:c r="D86"/>
      <x:c r="E86"/>
      <x:c r="F86"/>
      <x:c r="G86"/>
      <x:c r="H86"/>
      <x:c r="I86"/>
      <x:c r="J86"/>
      <x:c r="K86" s="59" t="n"/>
      <x:c r="L86" s="59" t="n"/>
      <x:c r="M86" s="59" t="n"/>
      <x:c r="N86" s="59" t="n"/>
      <x:c r="O86" s="59" t="n"/>
      <x:c r="P86" s="59" t="n"/>
      <x:c r="Q86" s="59" t="n"/>
    </x:row>
    <x:row r="87">
      <x:c r="A87"/>
      <x:c r="B87"/>
      <x:c r="C87"/>
      <x:c r="D87"/>
      <x:c r="E87"/>
      <x:c r="F87"/>
      <x:c r="G87"/>
      <x:c r="H87"/>
      <x:c r="I87"/>
      <x:c r="J87"/>
      <x:c r="K87" s="59" t="n"/>
      <x:c r="L87" s="59" t="n"/>
      <x:c r="M87" s="59" t="n"/>
      <x:c r="N87" s="59" t="n"/>
      <x:c r="O87" s="59" t="n"/>
      <x:c r="P87" s="59" t="n"/>
      <x:c r="Q87" s="59" t="n"/>
    </x:row>
    <x:row r="88">
      <x:c r="A88"/>
      <x:c r="B88"/>
      <x:c r="C88"/>
      <x:c r="D88"/>
      <x:c r="E88"/>
      <x:c r="F88"/>
      <x:c r="G88"/>
      <x:c r="H88"/>
      <x:c r="I88"/>
      <x:c r="J88"/>
      <x:c r="K88" s="59" t="n"/>
      <x:c r="L88" s="59" t="n"/>
      <x:c r="M88" s="59" t="n"/>
      <x:c r="N88" s="59" t="n"/>
      <x:c r="O88" s="59" t="n"/>
      <x:c r="P88" s="59" t="n"/>
      <x:c r="Q88" s="59" t="n"/>
    </x:row>
    <x:row r="89">
      <x:c r="A89"/>
      <x:c r="B89"/>
      <x:c r="C89"/>
      <x:c r="D89"/>
      <x:c r="E89"/>
      <x:c r="F89"/>
      <x:c r="G89"/>
      <x:c r="H89"/>
      <x:c r="I89"/>
      <x:c r="J89"/>
      <x:c r="K89" s="59" t="n"/>
      <x:c r="L89" s="59" t="n"/>
      <x:c r="M89" s="59" t="n"/>
      <x:c r="N89" s="59" t="n"/>
      <x:c r="O89" s="59" t="n"/>
      <x:c r="P89" s="59" t="n"/>
      <x:c r="Q89" s="59" t="n"/>
    </x:row>
    <x:row r="90">
      <x:c r="A90"/>
      <x:c r="B90"/>
      <x:c r="C90"/>
      <x:c r="D90"/>
      <x:c r="E90"/>
      <x:c r="F90"/>
      <x:c r="G90"/>
      <x:c r="H90"/>
      <x:c r="I90"/>
      <x:c r="J90"/>
      <x:c r="K90" s="59" t="n"/>
      <x:c r="L90" s="59" t="n"/>
      <x:c r="M90" s="59" t="n"/>
      <x:c r="N90" s="59" t="n"/>
      <x:c r="O90" s="59" t="n"/>
      <x:c r="P90" s="59" t="n"/>
      <x:c r="Q90" s="59" t="n"/>
    </x:row>
    <x:row r="91">
      <x:c r="A91"/>
      <x:c r="B91"/>
      <x:c r="C91"/>
      <x:c r="D91"/>
      <x:c r="E91"/>
      <x:c r="F91"/>
      <x:c r="G91"/>
      <x:c r="H91"/>
      <x:c r="I91"/>
      <x:c r="J91"/>
      <x:c r="K91" s="59" t="n"/>
      <x:c r="L91" s="59" t="n"/>
      <x:c r="M91" s="59" t="n"/>
      <x:c r="N91" s="59" t="n"/>
      <x:c r="O91" s="59" t="n"/>
      <x:c r="P91" s="59" t="n"/>
      <x:c r="Q91" s="59" t="n"/>
    </x:row>
    <x:row r="92">
      <x:c r="A92"/>
      <x:c r="B92"/>
      <x:c r="C92"/>
      <x:c r="D92"/>
      <x:c r="E92"/>
      <x:c r="F92"/>
      <x:c r="G92"/>
      <x:c r="H92"/>
      <x:c r="I92"/>
      <x:c r="J92"/>
      <x:c r="K92" s="59" t="n"/>
      <x:c r="L92" s="59" t="n"/>
      <x:c r="M92" s="59" t="n"/>
      <x:c r="N92" s="59" t="n"/>
      <x:c r="O92" s="59" t="n"/>
      <x:c r="P92" s="59" t="n"/>
      <x:c r="Q92" s="59" t="n"/>
    </x:row>
    <x:row r="93">
      <x:c r="A93"/>
      <x:c r="B93"/>
      <x:c r="C93"/>
      <x:c r="D93"/>
      <x:c r="E93"/>
      <x:c r="F93"/>
      <x:c r="G93"/>
      <x:c r="H93"/>
      <x:c r="I93"/>
      <x:c r="J93"/>
      <x:c r="K93" s="59" t="n"/>
      <x:c r="L93" s="59" t="n"/>
      <x:c r="M93" s="59" t="n"/>
      <x:c r="N93" s="59" t="n"/>
      <x:c r="O93" s="59" t="n"/>
      <x:c r="P93" s="59" t="n"/>
      <x:c r="Q93" s="59" t="n"/>
    </x:row>
    <x:row r="94">
      <x:c r="A94"/>
      <x:c r="B94"/>
      <x:c r="C94"/>
      <x:c r="D94"/>
      <x:c r="E94"/>
      <x:c r="F94"/>
      <x:c r="G94"/>
      <x:c r="H94"/>
      <x:c r="I94"/>
      <x:c r="J94"/>
      <x:c r="K94" s="59" t="n"/>
      <x:c r="L94" s="59" t="n"/>
      <x:c r="M94" s="59" t="n"/>
      <x:c r="N94" s="59" t="n"/>
      <x:c r="O94" s="59" t="n"/>
      <x:c r="P94" s="59" t="n"/>
      <x:c r="Q94" s="59" t="n"/>
    </x:row>
    <x:row r="95">
      <x:c r="A95"/>
      <x:c r="B95"/>
      <x:c r="C95"/>
      <x:c r="D95"/>
      <x:c r="E95"/>
      <x:c r="F95"/>
      <x:c r="G95"/>
      <x:c r="H95"/>
      <x:c r="I95"/>
      <x:c r="J95"/>
      <x:c r="K95" s="59" t="n"/>
      <x:c r="L95" s="59" t="n"/>
      <x:c r="M95" s="59" t="n"/>
      <x:c r="N95" s="59" t="n"/>
      <x:c r="O95" s="59" t="n"/>
      <x:c r="P95" s="59" t="n"/>
      <x:c r="Q95" s="59" t="n"/>
    </x:row>
    <x:row r="96">
      <x:c r="A96"/>
      <x:c r="B96"/>
      <x:c r="C96"/>
      <x:c r="D96"/>
      <x:c r="E96"/>
      <x:c r="F96"/>
      <x:c r="G96"/>
      <x:c r="H96"/>
      <x:c r="I96"/>
      <x:c r="J96"/>
      <x:c r="K96" s="59" t="n"/>
      <x:c r="L96" s="59" t="n"/>
      <x:c r="M96" s="59" t="n"/>
      <x:c r="N96" s="59" t="n"/>
      <x:c r="O96" s="59" t="n"/>
      <x:c r="P96" s="59" t="n"/>
      <x:c r="Q96" s="59" t="n"/>
    </x:row>
    <x:row r="97">
      <x:c r="A97"/>
      <x:c r="B97"/>
      <x:c r="C97"/>
      <x:c r="D97"/>
      <x:c r="E97"/>
      <x:c r="F97"/>
      <x:c r="G97"/>
      <x:c r="H97"/>
      <x:c r="I97"/>
      <x:c r="J97"/>
      <x:c r="K97" s="59" t="n"/>
      <x:c r="L97" s="59" t="n"/>
      <x:c r="M97" s="59" t="n"/>
      <x:c r="N97" s="59" t="n"/>
      <x:c r="O97" s="59" t="n"/>
      <x:c r="P97" s="59" t="n"/>
      <x:c r="Q97" s="59" t="n"/>
    </x:row>
    <x:row r="98">
      <x:c r="A98"/>
      <x:c r="B98"/>
      <x:c r="C98"/>
      <x:c r="D98"/>
      <x:c r="E98"/>
      <x:c r="F98"/>
      <x:c r="G98"/>
      <x:c r="H98"/>
      <x:c r="I98"/>
      <x:c r="J98"/>
      <x:c r="K98" s="59" t="n"/>
      <x:c r="L98" s="59" t="n"/>
      <x:c r="M98" s="59" t="n"/>
      <x:c r="N98" s="59" t="n"/>
      <x:c r="O98" s="59" t="n"/>
      <x:c r="P98" s="59" t="n"/>
      <x:c r="Q98" s="59" t="n"/>
    </x:row>
    <x:row r="99">
      <x:c r="A99"/>
      <x:c r="B99"/>
      <x:c r="C99"/>
      <x:c r="D99"/>
      <x:c r="E99"/>
      <x:c r="F99"/>
      <x:c r="G99"/>
      <x:c r="H99"/>
      <x:c r="I99"/>
      <x:c r="J99"/>
      <x:c r="K99" s="59" t="n"/>
      <x:c r="L99" s="59" t="n"/>
      <x:c r="M99" s="59" t="n"/>
      <x:c r="N99" s="59" t="n"/>
      <x:c r="O99" s="59" t="n"/>
      <x:c r="P99" s="59" t="n"/>
      <x:c r="Q99" s="59" t="n"/>
    </x:row>
    <x:row r="100">
      <x:c r="A100"/>
      <x:c r="B100"/>
      <x:c r="C100"/>
      <x:c r="D100"/>
      <x:c r="E100"/>
      <x:c r="F100"/>
      <x:c r="G100"/>
      <x:c r="H100"/>
      <x:c r="I100"/>
      <x:c r="J100"/>
      <x:c r="K100" s="59" t="n"/>
      <x:c r="L100" s="59" t="n"/>
      <x:c r="M100" s="59" t="n"/>
      <x:c r="N100" s="59" t="n"/>
      <x:c r="O100" s="59" t="n"/>
      <x:c r="P100" s="59" t="n"/>
      <x:c r="Q100" s="59" t="n"/>
    </x:row>
    <x:row r="101">
      <x:c r="A101"/>
      <x:c r="B101"/>
      <x:c r="C101"/>
      <x:c r="D101"/>
      <x:c r="E101"/>
      <x:c r="F101"/>
      <x:c r="G101"/>
      <x:c r="H101"/>
      <x:c r="I101"/>
      <x:c r="J101"/>
      <x:c r="K101" s="59" t="n"/>
      <x:c r="L101" s="59" t="n"/>
      <x:c r="M101" s="59" t="n"/>
      <x:c r="N101" s="59" t="n"/>
      <x:c r="O101" s="59" t="n"/>
      <x:c r="P101" s="59" t="n"/>
      <x:c r="Q101" s="59" t="n"/>
    </x:row>
    <x:row r="102">
      <x:c r="A102"/>
      <x:c r="B102"/>
      <x:c r="C102"/>
      <x:c r="D102"/>
      <x:c r="E102"/>
      <x:c r="F102"/>
      <x:c r="G102"/>
      <x:c r="H102"/>
      <x:c r="I102"/>
      <x:c r="J102"/>
      <x:c r="K102" s="59" t="n"/>
      <x:c r="L102" s="59" t="n"/>
      <x:c r="M102" s="59" t="n"/>
      <x:c r="N102" s="59" t="n"/>
      <x:c r="O102" s="59" t="n"/>
      <x:c r="P102" s="59" t="n"/>
      <x:c r="Q102" s="59" t="n"/>
    </x:row>
    <x:row r="103">
      <x:c r="A103"/>
      <x:c r="B103"/>
      <x:c r="C103"/>
      <x:c r="D103"/>
      <x:c r="E103"/>
      <x:c r="F103"/>
      <x:c r="G103"/>
      <x:c r="H103"/>
      <x:c r="I103"/>
      <x:c r="J103"/>
      <x:c r="K103" s="59" t="n"/>
      <x:c r="L103" s="59" t="n"/>
      <x:c r="M103" s="59" t="n"/>
      <x:c r="N103" s="59" t="n"/>
      <x:c r="O103" s="59" t="n"/>
      <x:c r="P103" s="59" t="n"/>
      <x:c r="Q103" s="59" t="n"/>
    </x:row>
    <x:row r="104">
      <x:c r="A104"/>
      <x:c r="B104"/>
      <x:c r="C104"/>
      <x:c r="D104"/>
      <x:c r="E104"/>
      <x:c r="F104"/>
      <x:c r="G104"/>
      <x:c r="H104"/>
      <x:c r="I104"/>
      <x:c r="J104"/>
      <x:c r="K104" s="59" t="n"/>
      <x:c r="L104" s="59" t="n"/>
      <x:c r="M104" s="59" t="n"/>
      <x:c r="N104" s="59" t="n"/>
      <x:c r="O104" s="59" t="n"/>
      <x:c r="P104" s="59" t="n"/>
      <x:c r="Q104" s="59" t="n"/>
    </x:row>
    <x:row r="105">
      <x:c r="A105"/>
      <x:c r="B105"/>
      <x:c r="C105"/>
      <x:c r="D105"/>
      <x:c r="E105"/>
      <x:c r="F105"/>
      <x:c r="G105"/>
      <x:c r="H105"/>
      <x:c r="I105"/>
      <x:c r="J105"/>
      <x:c r="K105" s="59" t="n"/>
      <x:c r="L105" s="59" t="n"/>
      <x:c r="M105" s="59" t="n"/>
      <x:c r="N105" s="59" t="n"/>
      <x:c r="O105" s="59" t="n"/>
      <x:c r="P105" s="59" t="n"/>
      <x:c r="Q105" s="59" t="n"/>
    </x:row>
    <x:row r="106">
      <x:c r="A106"/>
      <x:c r="B106"/>
      <x:c r="C106"/>
      <x:c r="D106"/>
      <x:c r="E106"/>
      <x:c r="F106"/>
      <x:c r="G106"/>
      <x:c r="H106"/>
      <x:c r="I106"/>
      <x:c r="J106"/>
      <x:c r="K106" s="59" t="n"/>
      <x:c r="L106" s="59" t="n"/>
      <x:c r="M106" s="59" t="n"/>
      <x:c r="N106" s="59" t="n"/>
      <x:c r="O106" s="59" t="n"/>
      <x:c r="P106" s="59" t="n"/>
      <x:c r="Q106" s="59" t="n"/>
    </x:row>
    <x:row r="107">
      <x:c r="A107"/>
      <x:c r="B107"/>
      <x:c r="C107"/>
      <x:c r="D107"/>
      <x:c r="E107"/>
      <x:c r="F107"/>
      <x:c r="G107"/>
      <x:c r="H107"/>
      <x:c r="I107"/>
      <x:c r="J107"/>
      <x:c r="K107" s="59" t="n"/>
      <x:c r="L107" s="59" t="n"/>
      <x:c r="M107" s="59" t="n"/>
      <x:c r="N107" s="59" t="n"/>
      <x:c r="O107" s="59" t="n"/>
      <x:c r="P107" s="59" t="n"/>
      <x:c r="Q107" s="59" t="n"/>
    </x:row>
    <x:row r="108">
      <x:c r="A108"/>
      <x:c r="B108"/>
      <x:c r="C108"/>
      <x:c r="D108"/>
      <x:c r="E108"/>
      <x:c r="F108"/>
      <x:c r="G108"/>
      <x:c r="H108"/>
      <x:c r="I108"/>
      <x:c r="J108"/>
      <x:c r="K108" s="59" t="n"/>
      <x:c r="L108" s="59" t="n"/>
      <x:c r="M108" s="59" t="n"/>
      <x:c r="N108" s="59" t="n"/>
      <x:c r="O108" s="59" t="n"/>
      <x:c r="P108" s="59" t="n"/>
      <x:c r="Q108" s="59" t="n"/>
    </x:row>
    <x:row r="109">
      <x:c r="A109"/>
      <x:c r="B109"/>
      <x:c r="C109"/>
      <x:c r="D109"/>
      <x:c r="E109"/>
      <x:c r="F109"/>
      <x:c r="G109"/>
      <x:c r="H109"/>
      <x:c r="I109"/>
      <x:c r="J109"/>
      <x:c r="K109" s="59" t="n"/>
      <x:c r="L109" s="59" t="n"/>
      <x:c r="M109" s="59" t="n"/>
      <x:c r="N109" s="59" t="n"/>
      <x:c r="O109" s="59" t="n"/>
      <x:c r="P109" s="59" t="n"/>
      <x:c r="Q109" s="59" t="n"/>
    </x:row>
    <x:row r="110">
      <x:c r="A110"/>
      <x:c r="B110"/>
      <x:c r="C110"/>
      <x:c r="D110"/>
      <x:c r="E110"/>
      <x:c r="F110"/>
      <x:c r="G110"/>
      <x:c r="H110"/>
      <x:c r="I110"/>
      <x:c r="J110"/>
      <x:c r="K110" s="59" t="n"/>
      <x:c r="L110" s="59" t="n"/>
      <x:c r="M110" s="59" t="n"/>
      <x:c r="N110" s="59" t="n"/>
      <x:c r="O110" s="59" t="n"/>
      <x:c r="P110" s="59" t="n"/>
      <x:c r="Q110" s="59" t="n"/>
    </x:row>
    <x:row r="111">
      <x:c r="A111"/>
      <x:c r="B111"/>
      <x:c r="C111"/>
      <x:c r="D111"/>
      <x:c r="E111"/>
      <x:c r="F111"/>
      <x:c r="G111"/>
      <x:c r="H111"/>
      <x:c r="I111"/>
      <x:c r="J111"/>
      <x:c r="K111" s="59" t="n"/>
      <x:c r="L111" s="59" t="n"/>
      <x:c r="M111" s="59" t="n"/>
      <x:c r="N111" s="59" t="n"/>
      <x:c r="O111" s="59" t="n"/>
      <x:c r="P111" s="59" t="n"/>
      <x:c r="Q111" s="59" t="n"/>
    </x:row>
    <x:row r="112">
      <x:c r="A112"/>
      <x:c r="B112"/>
      <x:c r="C112"/>
      <x:c r="D112"/>
      <x:c r="E112"/>
      <x:c r="F112"/>
      <x:c r="G112"/>
      <x:c r="H112"/>
      <x:c r="I112"/>
      <x:c r="J112"/>
      <x:c r="K112" s="59" t="n"/>
      <x:c r="L112" s="59" t="n"/>
      <x:c r="M112" s="59" t="n"/>
      <x:c r="N112" s="59" t="n"/>
      <x:c r="O112" s="59" t="n"/>
      <x:c r="P112" s="59" t="n"/>
      <x:c r="Q112" s="59" t="n"/>
    </x:row>
    <x:row r="113">
      <x:c r="A113"/>
      <x:c r="B113"/>
      <x:c r="C113"/>
      <x:c r="D113"/>
      <x:c r="E113"/>
      <x:c r="F113"/>
      <x:c r="G113"/>
      <x:c r="H113"/>
      <x:c r="I113"/>
      <x:c r="J113"/>
      <x:c r="K113" s="59" t="n"/>
      <x:c r="L113" s="59" t="n"/>
      <x:c r="M113" s="59" t="n"/>
      <x:c r="N113" s="59" t="n"/>
      <x:c r="O113" s="59" t="n"/>
      <x:c r="P113" s="59" t="n"/>
      <x:c r="Q113" s="59" t="n"/>
    </x:row>
    <x:row r="114">
      <x:c r="A114"/>
      <x:c r="B114"/>
      <x:c r="C114"/>
      <x:c r="D114"/>
      <x:c r="E114"/>
      <x:c r="F114"/>
      <x:c r="G114"/>
      <x:c r="H114"/>
      <x:c r="I114"/>
      <x:c r="J114"/>
      <x:c r="K114" s="59" t="n"/>
      <x:c r="L114" s="59" t="n"/>
      <x:c r="M114" s="59" t="n"/>
      <x:c r="N114" s="59" t="n"/>
      <x:c r="O114" s="59" t="n"/>
      <x:c r="P114" s="59" t="n"/>
      <x:c r="Q114" s="59" t="n"/>
    </x:row>
    <x:row r="115">
      <x:c r="A115"/>
      <x:c r="B115"/>
      <x:c r="C115"/>
      <x:c r="D115"/>
      <x:c r="E115"/>
      <x:c r="F115"/>
      <x:c r="G115"/>
      <x:c r="H115"/>
      <x:c r="I115"/>
      <x:c r="J115"/>
      <x:c r="K115" s="59" t="n"/>
      <x:c r="L115" s="59" t="n"/>
      <x:c r="M115" s="59" t="n"/>
      <x:c r="N115" s="59" t="n"/>
      <x:c r="O115" s="59" t="n"/>
      <x:c r="P115" s="59" t="n"/>
      <x:c r="Q115" s="59" t="n"/>
    </x:row>
    <x:row r="116">
      <x:c r="A116"/>
      <x:c r="B116"/>
      <x:c r="C116"/>
      <x:c r="D116"/>
      <x:c r="E116"/>
      <x:c r="F116"/>
      <x:c r="G116"/>
      <x:c r="H116"/>
      <x:c r="I116"/>
      <x:c r="J116"/>
      <x:c r="K116" s="59" t="n"/>
      <x:c r="L116" s="59" t="n"/>
      <x:c r="M116" s="59" t="n"/>
      <x:c r="N116" s="59" t="n"/>
      <x:c r="O116" s="59" t="n"/>
      <x:c r="P116" s="59" t="n"/>
      <x:c r="Q116" s="59" t="n"/>
    </x:row>
    <x:row r="117">
      <x:c r="A117"/>
      <x:c r="B117"/>
      <x:c r="C117"/>
      <x:c r="D117"/>
      <x:c r="E117"/>
      <x:c r="F117"/>
      <x:c r="G117"/>
      <x:c r="H117"/>
      <x:c r="I117"/>
      <x:c r="J117"/>
      <x:c r="K117" s="59" t="n"/>
      <x:c r="L117" s="59" t="n"/>
      <x:c r="M117" s="59" t="n"/>
      <x:c r="N117" s="59" t="n"/>
      <x:c r="O117" s="59" t="n"/>
      <x:c r="P117" s="59" t="n"/>
      <x:c r="Q117" s="59" t="n"/>
    </x:row>
    <x:row r="118">
      <x:c r="A118"/>
      <x:c r="B118"/>
      <x:c r="C118"/>
      <x:c r="D118"/>
      <x:c r="E118"/>
      <x:c r="F118"/>
      <x:c r="G118"/>
      <x:c r="H118"/>
      <x:c r="I118"/>
      <x:c r="J118"/>
      <x:c r="K118" s="59" t="n"/>
      <x:c r="L118" s="59" t="n"/>
      <x:c r="M118" s="59" t="n"/>
      <x:c r="N118" s="59" t="n"/>
      <x:c r="O118" s="59" t="n"/>
      <x:c r="P118" s="59" t="n"/>
      <x:c r="Q118" s="59" t="n"/>
    </x:row>
    <x:row r="119">
      <x:c r="A119"/>
      <x:c r="B119"/>
      <x:c r="C119"/>
      <x:c r="D119"/>
      <x:c r="E119"/>
      <x:c r="F119"/>
      <x:c r="G119"/>
      <x:c r="H119"/>
      <x:c r="I119"/>
      <x:c r="J119"/>
      <x:c r="K119" s="59" t="n"/>
      <x:c r="L119" s="59" t="n"/>
      <x:c r="M119" s="59" t="n"/>
      <x:c r="N119" s="59" t="n"/>
      <x:c r="O119" s="59" t="n"/>
      <x:c r="P119" s="59" t="n"/>
      <x:c r="Q119" s="59" t="n"/>
    </x:row>
    <x:row r="120">
      <x:c r="A120"/>
      <x:c r="B120"/>
      <x:c r="C120"/>
      <x:c r="D120"/>
      <x:c r="E120"/>
      <x:c r="F120"/>
      <x:c r="G120"/>
      <x:c r="H120"/>
      <x:c r="I120"/>
      <x:c r="J120"/>
      <x:c r="K120" s="59" t="n"/>
      <x:c r="L120" s="59" t="n"/>
      <x:c r="M120" s="59" t="n"/>
      <x:c r="N120" s="59" t="n"/>
      <x:c r="O120" s="59" t="n"/>
      <x:c r="P120" s="59" t="n"/>
      <x:c r="Q120" s="59" t="n"/>
    </x:row>
    <x:row r="121">
      <x:c r="A121"/>
      <x:c r="B121"/>
      <x:c r="C121"/>
      <x:c r="D121"/>
      <x:c r="E121"/>
      <x:c r="F121"/>
      <x:c r="G121"/>
      <x:c r="H121"/>
      <x:c r="I121"/>
      <x:c r="J121"/>
      <x:c r="K121" s="59" t="n"/>
      <x:c r="L121" s="59" t="n"/>
      <x:c r="M121" s="59" t="n"/>
      <x:c r="N121" s="59" t="n"/>
      <x:c r="O121" s="59" t="n"/>
      <x:c r="P121" s="59" t="n"/>
      <x:c r="Q121" s="59" t="n"/>
    </x:row>
    <x:row r="122">
      <x:c r="A122"/>
      <x:c r="B122"/>
      <x:c r="C122"/>
      <x:c r="D122"/>
      <x:c r="E122"/>
      <x:c r="F122"/>
      <x:c r="G122"/>
      <x:c r="H122"/>
      <x:c r="I122"/>
      <x:c r="J122"/>
      <x:c r="K122" s="59" t="n"/>
      <x:c r="L122" s="59" t="n"/>
      <x:c r="M122" s="59" t="n"/>
      <x:c r="N122" s="59" t="n"/>
      <x:c r="O122" s="59" t="n"/>
      <x:c r="P122" s="59" t="n"/>
      <x:c r="Q122" s="59" t="n"/>
    </x:row>
    <x:row r="123">
      <x:c r="A123"/>
      <x:c r="B123"/>
      <x:c r="C123"/>
      <x:c r="D123"/>
      <x:c r="E123"/>
      <x:c r="F123"/>
      <x:c r="G123"/>
      <x:c r="H123"/>
      <x:c r="I123"/>
      <x:c r="J123"/>
      <x:c r="K123" s="59" t="n"/>
      <x:c r="L123" s="59" t="n"/>
      <x:c r="M123" s="59" t="n"/>
      <x:c r="N123" s="59" t="n"/>
      <x:c r="O123" s="59" t="n"/>
      <x:c r="P123" s="59" t="n"/>
      <x:c r="Q123" s="59" t="n"/>
    </x:row>
    <x:row r="124">
      <x:c r="A124"/>
      <x:c r="B124"/>
      <x:c r="C124"/>
      <x:c r="D124"/>
      <x:c r="E124"/>
      <x:c r="F124"/>
      <x:c r="G124"/>
      <x:c r="H124"/>
      <x:c r="I124"/>
      <x:c r="J124"/>
      <x:c r="K124" s="59" t="n"/>
      <x:c r="L124" s="59" t="n"/>
      <x:c r="M124" s="59" t="n"/>
      <x:c r="N124" s="59" t="n"/>
      <x:c r="O124" s="59" t="n"/>
      <x:c r="P124" s="59" t="n"/>
      <x:c r="Q124" s="59" t="n"/>
    </x:row>
    <x:row r="125">
      <x:c r="A125"/>
      <x:c r="B125"/>
      <x:c r="C125"/>
      <x:c r="D125"/>
      <x:c r="E125"/>
      <x:c r="F125"/>
      <x:c r="G125"/>
      <x:c r="H125"/>
      <x:c r="I125"/>
      <x:c r="J125"/>
      <x:c r="K125" s="59" t="n"/>
      <x:c r="L125" s="59" t="n"/>
      <x:c r="M125" s="59" t="n"/>
      <x:c r="N125" s="59" t="n"/>
      <x:c r="O125" s="59" t="n"/>
      <x:c r="P125" s="59" t="n"/>
      <x:c r="Q125" s="59" t="n"/>
    </x:row>
    <x:row r="126">
      <x:c r="A126"/>
      <x:c r="B126"/>
      <x:c r="C126"/>
      <x:c r="D126"/>
      <x:c r="E126"/>
      <x:c r="F126"/>
      <x:c r="G126"/>
      <x:c r="H126"/>
      <x:c r="I126"/>
      <x:c r="J126"/>
      <x:c r="K126" s="59" t="n"/>
      <x:c r="L126" s="59" t="n"/>
      <x:c r="M126" s="59" t="n"/>
      <x:c r="N126" s="59" t="n"/>
      <x:c r="O126" s="59" t="n"/>
      <x:c r="P126" s="59" t="n"/>
      <x:c r="Q126" s="59" t="n"/>
    </x:row>
    <x:row r="127">
      <x:c r="A127"/>
      <x:c r="B127"/>
      <x:c r="C127"/>
      <x:c r="D127"/>
      <x:c r="E127"/>
      <x:c r="F127"/>
      <x:c r="G127"/>
      <x:c r="H127"/>
      <x:c r="I127"/>
      <x:c r="J127"/>
      <x:c r="K127" s="59" t="n"/>
      <x:c r="L127" s="59" t="n"/>
      <x:c r="M127" s="59" t="n"/>
      <x:c r="N127" s="59" t="n"/>
      <x:c r="O127" s="59" t="n"/>
      <x:c r="P127" s="59" t="n"/>
      <x:c r="Q127" s="59" t="n"/>
    </x:row>
    <x:row r="128">
      <x:c r="A128"/>
      <x:c r="B128"/>
      <x:c r="C128"/>
      <x:c r="D128"/>
      <x:c r="E128"/>
      <x:c r="F128"/>
      <x:c r="G128"/>
      <x:c r="H128"/>
      <x:c r="I128"/>
      <x:c r="J128"/>
      <x:c r="K128" s="59" t="n"/>
      <x:c r="L128" s="59" t="n"/>
      <x:c r="M128" s="59" t="n"/>
      <x:c r="N128" s="59" t="n"/>
      <x:c r="O128" s="59" t="n"/>
      <x:c r="P128" s="59" t="n"/>
      <x:c r="Q128" s="59" t="n"/>
    </x:row>
    <x:row r="129">
      <x:c r="A129"/>
      <x:c r="B129"/>
      <x:c r="C129"/>
      <x:c r="D129"/>
      <x:c r="E129"/>
      <x:c r="F129"/>
      <x:c r="G129"/>
      <x:c r="H129"/>
      <x:c r="I129"/>
      <x:c r="J129"/>
      <x:c r="K129" s="59" t="n"/>
      <x:c r="L129" s="59" t="n"/>
      <x:c r="M129" s="59" t="n"/>
      <x:c r="N129" s="59" t="n"/>
      <x:c r="O129" s="59" t="n"/>
      <x:c r="P129" s="59" t="n"/>
      <x:c r="Q129" s="59" t="n"/>
    </x:row>
    <x:row r="130">
      <x:c r="A130"/>
      <x:c r="B130"/>
      <x:c r="C130"/>
      <x:c r="D130"/>
      <x:c r="E130"/>
      <x:c r="F130"/>
      <x:c r="G130"/>
      <x:c r="H130"/>
      <x:c r="I130"/>
      <x:c r="J130"/>
      <x:c r="K130" s="59" t="n"/>
      <x:c r="L130" s="59" t="n"/>
      <x:c r="M130" s="59" t="n"/>
      <x:c r="N130" s="59" t="n"/>
      <x:c r="O130" s="59" t="n"/>
      <x:c r="P130" s="59" t="n"/>
      <x:c r="Q130" s="59" t="n"/>
    </x:row>
    <x:row r="131">
      <x:c r="A131"/>
      <x:c r="B131"/>
      <x:c r="C131"/>
      <x:c r="D131"/>
      <x:c r="E131"/>
      <x:c r="F131"/>
      <x:c r="G131"/>
      <x:c r="H131"/>
      <x:c r="I131"/>
      <x:c r="J131"/>
      <x:c r="K131" s="59" t="n"/>
      <x:c r="L131" s="59" t="n"/>
      <x:c r="M131" s="59" t="n"/>
      <x:c r="N131" s="59" t="n"/>
      <x:c r="O131" s="59" t="n"/>
      <x:c r="P131" s="59" t="n"/>
      <x:c r="Q131" s="59" t="n"/>
    </x:row>
    <x:row r="132">
      <x:c r="A132"/>
      <x:c r="B132"/>
      <x:c r="C132"/>
      <x:c r="D132"/>
      <x:c r="E132"/>
      <x:c r="F132"/>
      <x:c r="G132"/>
      <x:c r="H132"/>
      <x:c r="I132"/>
      <x:c r="J132"/>
      <x:c r="K132" s="59" t="n"/>
      <x:c r="L132" s="59" t="n"/>
      <x:c r="M132" s="59" t="n"/>
      <x:c r="N132" s="59" t="n"/>
      <x:c r="O132" s="59" t="n"/>
      <x:c r="P132" s="59" t="n"/>
      <x:c r="Q132" s="59" t="n"/>
    </x:row>
    <x:row r="133">
      <x:c r="A133"/>
      <x:c r="B133"/>
      <x:c r="C133"/>
      <x:c r="D133"/>
      <x:c r="E133"/>
      <x:c r="F133"/>
      <x:c r="G133"/>
      <x:c r="H133"/>
      <x:c r="I133"/>
      <x:c r="J133"/>
      <x:c r="K133" s="59" t="n"/>
      <x:c r="L133" s="59" t="n"/>
      <x:c r="M133" s="59" t="n"/>
      <x:c r="N133" s="59" t="n"/>
      <x:c r="O133" s="59" t="n"/>
      <x:c r="P133" s="59" t="n"/>
      <x:c r="Q133" s="59" t="n"/>
    </x:row>
    <x:row r="134">
      <x:c r="A134"/>
      <x:c r="B134"/>
      <x:c r="C134"/>
      <x:c r="D134"/>
      <x:c r="E134"/>
      <x:c r="F134"/>
      <x:c r="G134"/>
      <x:c r="H134"/>
      <x:c r="I134"/>
      <x:c r="J134"/>
      <x:c r="K134" s="59" t="n"/>
      <x:c r="L134" s="59" t="n"/>
      <x:c r="M134" s="59" t="n"/>
      <x:c r="N134" s="59" t="n"/>
      <x:c r="O134" s="59" t="n"/>
      <x:c r="P134" s="59" t="n"/>
      <x:c r="Q134" s="59" t="n"/>
    </x:row>
    <x:row r="135">
      <x:c r="A135"/>
      <x:c r="B135"/>
      <x:c r="C135"/>
      <x:c r="D135"/>
      <x:c r="E135"/>
      <x:c r="F135"/>
      <x:c r="G135"/>
      <x:c r="H135"/>
      <x:c r="I135"/>
      <x:c r="J135"/>
      <x:c r="K135" s="59" t="n"/>
      <x:c r="L135" s="59" t="n"/>
      <x:c r="M135" s="59" t="n"/>
      <x:c r="N135" s="59" t="n"/>
      <x:c r="O135" s="59" t="n"/>
      <x:c r="P135" s="59" t="n"/>
      <x:c r="Q135" s="59" t="n"/>
    </x:row>
    <x:row r="136">
      <x:c r="A136"/>
      <x:c r="B136"/>
      <x:c r="C136"/>
      <x:c r="D136"/>
      <x:c r="E136"/>
      <x:c r="F136"/>
      <x:c r="G136"/>
      <x:c r="H136"/>
      <x:c r="I136"/>
      <x:c r="J136"/>
      <x:c r="K136" s="59" t="n"/>
      <x:c r="L136" s="59" t="n"/>
      <x:c r="M136" s="59" t="n"/>
      <x:c r="N136" s="59" t="n"/>
      <x:c r="O136" s="59" t="n"/>
      <x:c r="P136" s="59" t="n"/>
      <x:c r="Q136" s="59" t="n"/>
    </x:row>
    <x:row r="137">
      <x:c r="A137"/>
      <x:c r="B137"/>
      <x:c r="C137"/>
      <x:c r="D137"/>
      <x:c r="E137"/>
      <x:c r="F137"/>
      <x:c r="G137"/>
      <x:c r="H137"/>
      <x:c r="I137"/>
      <x:c r="J137"/>
      <x:c r="K137" s="59" t="n"/>
      <x:c r="L137" s="59" t="n"/>
      <x:c r="M137" s="59" t="n"/>
      <x:c r="N137" s="59" t="n"/>
      <x:c r="O137" s="59" t="n"/>
      <x:c r="P137" s="59" t="n"/>
      <x:c r="Q137" s="59" t="n"/>
    </x:row>
    <x:row r="138">
      <x:c r="A138"/>
      <x:c r="B138"/>
      <x:c r="C138"/>
      <x:c r="D138"/>
      <x:c r="E138"/>
      <x:c r="F138"/>
      <x:c r="G138"/>
      <x:c r="H138"/>
      <x:c r="I138"/>
      <x:c r="J138"/>
      <x:c r="K138" s="59" t="n"/>
      <x:c r="L138" s="59" t="n"/>
      <x:c r="M138" s="59" t="n"/>
      <x:c r="N138" s="59" t="n"/>
      <x:c r="O138" s="59" t="n"/>
      <x:c r="P138" s="59" t="n"/>
      <x:c r="Q138" s="59" t="n"/>
    </x:row>
    <x:row r="139">
      <x:c r="A139"/>
      <x:c r="B139"/>
      <x:c r="C139"/>
      <x:c r="D139"/>
      <x:c r="E139"/>
      <x:c r="F139"/>
      <x:c r="G139"/>
      <x:c r="H139"/>
      <x:c r="I139"/>
      <x:c r="J139"/>
      <x:c r="K139" s="59" t="n"/>
      <x:c r="L139" s="59" t="n"/>
      <x:c r="M139" s="59" t="n"/>
      <x:c r="N139" s="59" t="n"/>
      <x:c r="O139" s="59" t="n"/>
      <x:c r="P139" s="59" t="n"/>
      <x:c r="Q139" s="59" t="n"/>
    </x:row>
    <x:row r="140">
      <x:c r="A140"/>
      <x:c r="B140"/>
      <x:c r="C140"/>
      <x:c r="D140"/>
      <x:c r="E140"/>
      <x:c r="F140"/>
      <x:c r="G140"/>
      <x:c r="H140"/>
      <x:c r="I140"/>
      <x:c r="J140"/>
      <x:c r="K140" s="59" t="n"/>
      <x:c r="L140" s="59" t="n"/>
      <x:c r="M140" s="59" t="n"/>
      <x:c r="N140" s="59" t="n"/>
      <x:c r="O140" s="59" t="n"/>
      <x:c r="P140" s="59" t="n"/>
      <x:c r="Q140" s="59" t="n"/>
    </x:row>
    <x:row r="141">
      <x:c r="A141"/>
      <x:c r="B141"/>
      <x:c r="C141"/>
      <x:c r="D141"/>
      <x:c r="E141"/>
      <x:c r="F141"/>
      <x:c r="G141"/>
      <x:c r="H141"/>
      <x:c r="I141"/>
      <x:c r="J141"/>
      <x:c r="K141" s="59" t="n"/>
      <x:c r="L141" s="59" t="n"/>
      <x:c r="M141" s="59" t="n"/>
      <x:c r="N141" s="59" t="n"/>
      <x:c r="O141" s="59" t="n"/>
      <x:c r="P141" s="59" t="n"/>
      <x:c r="Q141" s="59" t="n"/>
    </x:row>
    <x:row r="142">
      <x:c r="A142"/>
      <x:c r="B142"/>
      <x:c r="C142"/>
      <x:c r="D142"/>
      <x:c r="E142"/>
      <x:c r="F142"/>
      <x:c r="G142"/>
      <x:c r="H142"/>
      <x:c r="I142"/>
      <x:c r="J142"/>
      <x:c r="K142" s="59" t="n"/>
      <x:c r="L142" s="59" t="n"/>
      <x:c r="M142" s="59" t="n"/>
      <x:c r="N142" s="59" t="n"/>
      <x:c r="O142" s="59" t="n"/>
      <x:c r="P142" s="59" t="n"/>
      <x:c r="Q142" s="59" t="n"/>
    </x:row>
    <x:row r="143">
      <x:c r="A143"/>
      <x:c r="B143"/>
      <x:c r="C143"/>
      <x:c r="D143"/>
      <x:c r="E143"/>
      <x:c r="F143"/>
      <x:c r="G143"/>
      <x:c r="H143"/>
      <x:c r="I143"/>
      <x:c r="J143"/>
      <x:c r="K143" s="59" t="n"/>
      <x:c r="L143" s="59" t="n"/>
      <x:c r="M143" s="59" t="n"/>
      <x:c r="N143" s="59" t="n"/>
      <x:c r="O143" s="59" t="n"/>
      <x:c r="P143" s="59" t="n"/>
      <x:c r="Q143" s="59" t="n"/>
    </x:row>
    <x:row r="144">
      <x:c r="A144"/>
      <x:c r="B144"/>
      <x:c r="C144"/>
      <x:c r="D144"/>
      <x:c r="E144"/>
      <x:c r="F144"/>
      <x:c r="G144"/>
      <x:c r="H144"/>
      <x:c r="I144"/>
      <x:c r="J144"/>
      <x:c r="K144" s="59" t="n"/>
      <x:c r="L144" s="59" t="n"/>
      <x:c r="M144" s="59" t="n"/>
      <x:c r="N144" s="59" t="n"/>
      <x:c r="O144" s="59" t="n"/>
      <x:c r="P144" s="59" t="n"/>
      <x:c r="Q144" s="59" t="n"/>
    </x:row>
    <x:row r="145">
      <x:c r="A145"/>
      <x:c r="B145"/>
      <x:c r="C145"/>
      <x:c r="D145"/>
      <x:c r="E145"/>
      <x:c r="F145"/>
      <x:c r="G145"/>
      <x:c r="H145"/>
      <x:c r="I145"/>
      <x:c r="J145"/>
      <x:c r="K145" s="59" t="n"/>
      <x:c r="L145" s="59" t="n"/>
      <x:c r="M145" s="59" t="n"/>
      <x:c r="N145" s="59" t="n"/>
      <x:c r="O145" s="59" t="n"/>
      <x:c r="P145" s="59" t="n"/>
      <x:c r="Q145" s="59" t="n"/>
    </x:row>
    <x:row r="146">
      <x:c r="A146"/>
      <x:c r="B146"/>
      <x:c r="C146"/>
      <x:c r="D146"/>
      <x:c r="E146"/>
      <x:c r="F146"/>
      <x:c r="G146"/>
      <x:c r="H146"/>
      <x:c r="I146"/>
      <x:c r="J146"/>
      <x:c r="K146" s="59" t="n"/>
      <x:c r="L146" s="59" t="n"/>
      <x:c r="M146" s="59" t="n"/>
      <x:c r="N146" s="59" t="n"/>
      <x:c r="O146" s="59" t="n"/>
      <x:c r="P146" s="59" t="n"/>
      <x:c r="Q146" s="59" t="n"/>
    </x:row>
    <x:row r="147">
      <x:c r="A147"/>
      <x:c r="B147"/>
      <x:c r="C147"/>
      <x:c r="D147"/>
      <x:c r="E147"/>
      <x:c r="F147"/>
      <x:c r="G147"/>
      <x:c r="H147"/>
      <x:c r="I147"/>
      <x:c r="J147"/>
      <x:c r="K147" s="59" t="n"/>
      <x:c r="L147" s="59" t="n"/>
      <x:c r="M147" s="59" t="n"/>
      <x:c r="N147" s="59" t="n"/>
      <x:c r="O147" s="59" t="n"/>
      <x:c r="P147" s="59" t="n"/>
      <x:c r="Q147" s="59" t="n"/>
    </x:row>
    <x:row r="148">
      <x:c r="A148"/>
      <x:c r="B148"/>
      <x:c r="C148"/>
      <x:c r="D148"/>
      <x:c r="E148"/>
      <x:c r="F148"/>
      <x:c r="G148"/>
      <x:c r="H148"/>
      <x:c r="I148"/>
      <x:c r="J148"/>
      <x:c r="K148" s="59" t="n"/>
      <x:c r="L148" s="59" t="n"/>
      <x:c r="M148" s="59" t="n"/>
      <x:c r="N148" s="59" t="n"/>
      <x:c r="O148" s="59" t="n"/>
      <x:c r="P148" s="59" t="n"/>
      <x:c r="Q148" s="59" t="n"/>
    </x:row>
    <x:row r="149">
      <x:c r="A149"/>
      <x:c r="B149"/>
      <x:c r="C149"/>
      <x:c r="D149"/>
      <x:c r="E149"/>
      <x:c r="F149"/>
      <x:c r="G149"/>
      <x:c r="H149"/>
      <x:c r="I149"/>
      <x:c r="J149"/>
      <x:c r="K149" s="59" t="n"/>
      <x:c r="L149" s="59" t="n"/>
      <x:c r="M149" s="59" t="n"/>
      <x:c r="N149" s="59" t="n"/>
      <x:c r="O149" s="59" t="n"/>
      <x:c r="P149" s="59" t="n"/>
      <x:c r="Q149" s="59" t="n"/>
    </x:row>
    <x:row r="150">
      <x:c r="A150"/>
      <x:c r="B150"/>
      <x:c r="C150"/>
      <x:c r="D150"/>
      <x:c r="E150"/>
      <x:c r="F150"/>
      <x:c r="G150"/>
      <x:c r="H150"/>
      <x:c r="I150"/>
      <x:c r="J150"/>
      <x:c r="K150" s="59" t="n"/>
      <x:c r="L150" s="59" t="n"/>
      <x:c r="M150" s="59" t="n"/>
      <x:c r="N150" s="59" t="n"/>
      <x:c r="O150" s="59" t="n"/>
      <x:c r="P150" s="59" t="n"/>
      <x:c r="Q150" s="59" t="n"/>
    </x:row>
    <x:row r="151">
      <x:c r="A151"/>
      <x:c r="B151"/>
      <x:c r="C151"/>
      <x:c r="D151"/>
      <x:c r="E151"/>
      <x:c r="F151"/>
      <x:c r="G151"/>
      <x:c r="H151"/>
      <x:c r="I151"/>
      <x:c r="J151"/>
      <x:c r="K151" s="59" t="n"/>
      <x:c r="L151" s="59" t="n"/>
      <x:c r="M151" s="59" t="n"/>
      <x:c r="N151" s="59" t="n"/>
      <x:c r="O151" s="59" t="n"/>
      <x:c r="P151" s="59" t="n"/>
      <x:c r="Q151" s="59" t="n"/>
    </x:row>
    <x:row r="152">
      <x:c r="A152"/>
      <x:c r="B152"/>
      <x:c r="C152"/>
      <x:c r="D152"/>
      <x:c r="E152"/>
      <x:c r="F152"/>
      <x:c r="G152"/>
      <x:c r="H152"/>
      <x:c r="I152"/>
      <x:c r="J152"/>
      <x:c r="K152" s="59" t="n"/>
      <x:c r="L152" s="59" t="n"/>
      <x:c r="M152" s="59" t="n"/>
      <x:c r="N152" s="59" t="n"/>
      <x:c r="O152" s="59" t="n"/>
      <x:c r="P152" s="59" t="n"/>
      <x:c r="Q152" s="59" t="n"/>
    </x:row>
    <x:row r="153">
      <x:c r="A153"/>
      <x:c r="B153"/>
      <x:c r="C153"/>
      <x:c r="D153"/>
      <x:c r="E153"/>
      <x:c r="F153"/>
      <x:c r="G153"/>
      <x:c r="H153"/>
      <x:c r="I153"/>
      <x:c r="J153"/>
      <x:c r="K153" s="59" t="n"/>
      <x:c r="L153" s="59" t="n"/>
      <x:c r="M153" s="59" t="n"/>
      <x:c r="N153" s="59" t="n"/>
      <x:c r="O153" s="59" t="n"/>
      <x:c r="P153" s="59" t="n"/>
      <x:c r="Q153" s="59" t="n"/>
    </x:row>
    <x:row r="154">
      <x:c r="A154"/>
      <x:c r="B154"/>
      <x:c r="C154"/>
      <x:c r="D154"/>
      <x:c r="E154"/>
      <x:c r="F154"/>
      <x:c r="G154"/>
      <x:c r="H154"/>
      <x:c r="I154"/>
      <x:c r="J154"/>
      <x:c r="K154" s="59" t="n"/>
      <x:c r="L154" s="59" t="n"/>
      <x:c r="M154" s="59" t="n"/>
      <x:c r="N154" s="59" t="n"/>
      <x:c r="O154" s="59" t="n"/>
      <x:c r="P154" s="59" t="n"/>
      <x:c r="Q154" s="59" t="n"/>
    </x:row>
    <x:row r="155">
      <x:c r="A155"/>
      <x:c r="B155"/>
      <x:c r="C155"/>
      <x:c r="D155"/>
      <x:c r="E155"/>
      <x:c r="F155"/>
      <x:c r="G155"/>
      <x:c r="H155"/>
      <x:c r="I155"/>
      <x:c r="J155"/>
      <x:c r="K155" s="59" t="n"/>
      <x:c r="L155" s="59" t="n"/>
      <x:c r="M155" s="59" t="n"/>
      <x:c r="N155" s="59" t="n"/>
      <x:c r="O155" s="59" t="n"/>
      <x:c r="P155" s="59" t="n"/>
      <x:c r="Q155" s="59" t="n"/>
    </x:row>
    <x:row r="156">
      <x:c r="A156"/>
      <x:c r="B156"/>
      <x:c r="C156"/>
      <x:c r="D156"/>
      <x:c r="E156"/>
      <x:c r="F156"/>
      <x:c r="G156"/>
      <x:c r="H156"/>
      <x:c r="I156"/>
      <x:c r="J156"/>
      <x:c r="K156" s="59" t="n"/>
      <x:c r="L156" s="59" t="n"/>
      <x:c r="M156" s="59" t="n"/>
      <x:c r="N156" s="59" t="n"/>
      <x:c r="O156" s="59" t="n"/>
      <x:c r="P156" s="59" t="n"/>
      <x:c r="Q156" s="59" t="n"/>
    </x:row>
    <x:row r="157">
      <x:c r="A157"/>
      <x:c r="B157"/>
      <x:c r="C157"/>
      <x:c r="D157"/>
      <x:c r="E157"/>
      <x:c r="F157"/>
      <x:c r="G157"/>
      <x:c r="H157"/>
      <x:c r="I157"/>
      <x:c r="J157"/>
      <x:c r="K157" s="59" t="n"/>
      <x:c r="L157" s="59" t="n"/>
      <x:c r="M157" s="59" t="n"/>
      <x:c r="N157" s="59" t="n"/>
      <x:c r="O157" s="59" t="n"/>
      <x:c r="P157" s="59" t="n"/>
      <x:c r="Q157" s="59" t="n"/>
    </x:row>
    <x:row r="158">
      <x:c r="A158"/>
      <x:c r="B158"/>
      <x:c r="C158"/>
      <x:c r="D158"/>
      <x:c r="E158"/>
      <x:c r="F158"/>
      <x:c r="G158"/>
      <x:c r="H158"/>
      <x:c r="I158"/>
      <x:c r="J158"/>
      <x:c r="K158" s="59" t="n"/>
      <x:c r="L158" s="59" t="n"/>
      <x:c r="M158" s="59" t="n"/>
      <x:c r="N158" s="59" t="n"/>
      <x:c r="O158" s="59" t="n"/>
      <x:c r="P158" s="59" t="n"/>
      <x:c r="Q158" s="59" t="n"/>
    </x:row>
    <x:row r="159">
      <x:c r="A159"/>
      <x:c r="B159"/>
      <x:c r="C159"/>
      <x:c r="D159"/>
      <x:c r="E159"/>
      <x:c r="F159"/>
      <x:c r="G159"/>
      <x:c r="H159"/>
      <x:c r="I159"/>
      <x:c r="J159"/>
      <x:c r="K159" s="59" t="n"/>
      <x:c r="L159" s="59" t="n"/>
      <x:c r="M159" s="59" t="n"/>
      <x:c r="N159" s="59" t="n"/>
      <x:c r="O159" s="59" t="n"/>
      <x:c r="P159" s="59" t="n"/>
      <x:c r="Q159" s="59" t="n"/>
    </x:row>
    <x:row r="160">
      <x:c r="A160"/>
      <x:c r="B160"/>
      <x:c r="C160"/>
      <x:c r="D160"/>
      <x:c r="E160"/>
      <x:c r="F160"/>
      <x:c r="G160"/>
      <x:c r="H160"/>
      <x:c r="I160"/>
      <x:c r="J160"/>
      <x:c r="K160" s="59" t="n"/>
      <x:c r="L160" s="59" t="n"/>
      <x:c r="M160" s="59" t="n"/>
      <x:c r="N160" s="59" t="n"/>
      <x:c r="O160" s="59" t="n"/>
      <x:c r="P160" s="59" t="n"/>
      <x:c r="Q160" s="59" t="n"/>
    </x:row>
    <x:row r="161">
      <x:c r="A161"/>
      <x:c r="B161"/>
      <x:c r="C161"/>
      <x:c r="D161"/>
      <x:c r="E161"/>
      <x:c r="F161"/>
      <x:c r="G161"/>
      <x:c r="H161"/>
      <x:c r="I161"/>
      <x:c r="J161"/>
      <x:c r="K161" s="59" t="n"/>
      <x:c r="L161" s="59" t="n"/>
      <x:c r="M161" s="59" t="n"/>
      <x:c r="N161" s="59" t="n"/>
      <x:c r="O161" s="59" t="n"/>
      <x:c r="P161" s="59" t="n"/>
      <x:c r="Q161" s="59" t="n"/>
    </x:row>
    <x:row r="162">
      <x:c r="A162"/>
      <x:c r="B162"/>
      <x:c r="C162"/>
      <x:c r="D162"/>
      <x:c r="E162"/>
      <x:c r="F162"/>
      <x:c r="G162"/>
      <x:c r="H162"/>
      <x:c r="I162"/>
      <x:c r="J162"/>
      <x:c r="K162" s="59" t="n"/>
      <x:c r="L162" s="59" t="n"/>
      <x:c r="M162" s="59" t="n"/>
      <x:c r="N162" s="59" t="n"/>
      <x:c r="O162" s="59" t="n"/>
      <x:c r="P162" s="59" t="n"/>
      <x:c r="Q162" s="59" t="n"/>
    </x:row>
    <x:row r="163">
      <x:c r="A163"/>
      <x:c r="B163"/>
      <x:c r="C163"/>
      <x:c r="D163"/>
      <x:c r="E163"/>
      <x:c r="F163"/>
      <x:c r="G163"/>
      <x:c r="H163"/>
      <x:c r="I163"/>
      <x:c r="J163"/>
      <x:c r="K163" s="59" t="n"/>
      <x:c r="L163" s="59" t="n"/>
      <x:c r="M163" s="59" t="n"/>
      <x:c r="N163" s="59" t="n"/>
      <x:c r="O163" s="59" t="n"/>
      <x:c r="P163" s="59" t="n"/>
      <x:c r="Q163" s="59" t="n"/>
    </x:row>
    <x:row r="164">
      <x:c r="A164"/>
      <x:c r="B164"/>
      <x:c r="C164"/>
      <x:c r="D164"/>
      <x:c r="E164"/>
      <x:c r="F164"/>
      <x:c r="G164"/>
      <x:c r="H164"/>
      <x:c r="I164"/>
      <x:c r="J164"/>
      <x:c r="K164" s="59" t="n"/>
      <x:c r="L164" s="59" t="n"/>
      <x:c r="M164" s="59" t="n"/>
      <x:c r="N164" s="59" t="n"/>
      <x:c r="O164" s="59" t="n"/>
      <x:c r="P164" s="59" t="n"/>
      <x:c r="Q164" s="59" t="n"/>
    </x:row>
    <x:row r="165">
      <x:c r="A165"/>
      <x:c r="B165"/>
      <x:c r="C165"/>
      <x:c r="D165"/>
      <x:c r="E165"/>
      <x:c r="F165"/>
      <x:c r="G165"/>
      <x:c r="H165"/>
      <x:c r="I165"/>
      <x:c r="J165"/>
      <x:c r="K165" s="59" t="n"/>
      <x:c r="L165" s="59" t="n"/>
      <x:c r="M165" s="59" t="n"/>
      <x:c r="N165" s="59" t="n"/>
      <x:c r="O165" s="59" t="n"/>
      <x:c r="P165" s="59" t="n"/>
      <x:c r="Q165" s="59" t="n"/>
    </x:row>
    <x:row r="166">
      <x:c r="A166"/>
      <x:c r="B166"/>
      <x:c r="C166"/>
      <x:c r="D166"/>
      <x:c r="E166"/>
      <x:c r="F166"/>
      <x:c r="G166"/>
      <x:c r="H166"/>
      <x:c r="I166"/>
      <x:c r="J166"/>
      <x:c r="K166" s="59" t="n"/>
      <x:c r="L166" s="59" t="n"/>
      <x:c r="M166" s="59" t="n"/>
      <x:c r="N166" s="59" t="n"/>
      <x:c r="O166" s="59" t="n"/>
      <x:c r="P166" s="59" t="n"/>
      <x:c r="Q166" s="59" t="n"/>
    </x:row>
    <x:row r="167">
      <x:c r="A167"/>
      <x:c r="B167"/>
      <x:c r="C167"/>
      <x:c r="D167"/>
      <x:c r="E167"/>
      <x:c r="F167"/>
      <x:c r="G167"/>
      <x:c r="H167"/>
      <x:c r="I167"/>
      <x:c r="J167"/>
      <x:c r="K167" s="59" t="n"/>
      <x:c r="L167" s="59" t="n"/>
      <x:c r="M167" s="59" t="n"/>
      <x:c r="N167" s="59" t="n"/>
      <x:c r="O167" s="59" t="n"/>
      <x:c r="P167" s="59" t="n"/>
      <x:c r="Q167" s="59" t="n"/>
    </x:row>
    <x:row r="168">
      <x:c r="A168"/>
      <x:c r="B168"/>
      <x:c r="C168"/>
      <x:c r="D168"/>
      <x:c r="E168"/>
      <x:c r="F168"/>
      <x:c r="G168"/>
      <x:c r="H168"/>
      <x:c r="I168"/>
      <x:c r="J168"/>
      <x:c r="K168" s="59" t="n"/>
      <x:c r="L168" s="59" t="n"/>
      <x:c r="M168" s="59" t="n"/>
      <x:c r="N168" s="59" t="n"/>
      <x:c r="O168" s="59" t="n"/>
      <x:c r="P168" s="59" t="n"/>
      <x:c r="Q168" s="59" t="n"/>
    </x:row>
    <x:row r="169">
      <x:c r="A169"/>
      <x:c r="B169"/>
      <x:c r="C169"/>
      <x:c r="D169"/>
      <x:c r="E169"/>
      <x:c r="F169"/>
      <x:c r="G169"/>
      <x:c r="H169"/>
      <x:c r="I169"/>
      <x:c r="J169"/>
      <x:c r="K169" s="59" t="n"/>
      <x:c r="L169" s="59" t="n"/>
      <x:c r="M169" s="59" t="n"/>
      <x:c r="N169" s="59" t="n"/>
      <x:c r="O169" s="59" t="n"/>
      <x:c r="P169" s="59" t="n"/>
      <x:c r="Q169" s="59" t="n"/>
    </x:row>
    <x:row r="170">
      <x:c r="A170"/>
      <x:c r="B170"/>
      <x:c r="C170"/>
      <x:c r="D170"/>
      <x:c r="E170"/>
      <x:c r="F170"/>
      <x:c r="G170"/>
      <x:c r="H170"/>
      <x:c r="I170"/>
      <x:c r="J170"/>
      <x:c r="K170" s="59" t="n"/>
      <x:c r="L170" s="59" t="n"/>
      <x:c r="M170" s="59" t="n"/>
      <x:c r="N170" s="59" t="n"/>
      <x:c r="O170" s="59" t="n"/>
      <x:c r="P170" s="59" t="n"/>
      <x:c r="Q170" s="59" t="n"/>
    </x:row>
    <x:row r="171">
      <x:c r="A171"/>
      <x:c r="B171"/>
      <x:c r="C171"/>
      <x:c r="D171"/>
      <x:c r="E171"/>
      <x:c r="F171"/>
      <x:c r="G171"/>
      <x:c r="H171"/>
      <x:c r="I171"/>
      <x:c r="J171"/>
      <x:c r="K171" s="59" t="n"/>
      <x:c r="L171" s="59" t="n"/>
      <x:c r="M171" s="59" t="n"/>
      <x:c r="N171" s="59" t="n"/>
      <x:c r="O171" s="59" t="n"/>
      <x:c r="P171" s="59" t="n"/>
      <x:c r="Q171" s="59" t="n"/>
    </x:row>
    <x:row r="172">
      <x:c r="A172"/>
      <x:c r="B172"/>
      <x:c r="C172"/>
      <x:c r="D172"/>
      <x:c r="E172"/>
      <x:c r="F172"/>
      <x:c r="G172"/>
      <x:c r="H172"/>
      <x:c r="I172"/>
      <x:c r="J172"/>
      <x:c r="K172" s="59" t="n"/>
      <x:c r="L172" s="59" t="n"/>
      <x:c r="M172" s="59" t="n"/>
      <x:c r="N172" s="59" t="n"/>
      <x:c r="O172" s="59" t="n"/>
      <x:c r="P172" s="59" t="n"/>
      <x:c r="Q172" s="59" t="n"/>
    </x:row>
    <x:row r="173">
      <x:c r="A173"/>
      <x:c r="B173"/>
      <x:c r="C173"/>
      <x:c r="D173"/>
      <x:c r="E173"/>
      <x:c r="F173"/>
      <x:c r="G173"/>
      <x:c r="H173"/>
      <x:c r="I173"/>
      <x:c r="J173"/>
      <x:c r="K173" s="59" t="n"/>
      <x:c r="L173" s="59" t="n"/>
      <x:c r="M173" s="59" t="n"/>
      <x:c r="N173" s="59" t="n"/>
      <x:c r="O173" s="59" t="n"/>
      <x:c r="P173" s="59" t="n"/>
      <x:c r="Q173" s="59" t="n"/>
    </x:row>
    <x:row r="174">
      <x:c r="A174"/>
      <x:c r="B174"/>
      <x:c r="C174"/>
      <x:c r="D174"/>
      <x:c r="E174"/>
      <x:c r="F174"/>
      <x:c r="G174"/>
      <x:c r="H174"/>
      <x:c r="I174"/>
      <x:c r="J174"/>
      <x:c r="K174" s="59" t="n"/>
      <x:c r="L174" s="59" t="n"/>
      <x:c r="M174" s="59" t="n"/>
      <x:c r="N174" s="59" t="n"/>
      <x:c r="O174" s="59" t="n"/>
      <x:c r="P174" s="59" t="n"/>
      <x:c r="Q174" s="59" t="n"/>
    </x:row>
    <x:row r="175">
      <x:c r="A175"/>
      <x:c r="B175"/>
      <x:c r="C175"/>
      <x:c r="D175"/>
      <x:c r="E175"/>
      <x:c r="F175"/>
      <x:c r="G175"/>
      <x:c r="H175"/>
      <x:c r="I175"/>
      <x:c r="J175"/>
      <x:c r="K175" s="59" t="n"/>
      <x:c r="L175" s="59" t="n"/>
      <x:c r="M175" s="59" t="n"/>
      <x:c r="N175" s="59" t="n"/>
      <x:c r="O175" s="59" t="n"/>
      <x:c r="P175" s="59" t="n"/>
      <x:c r="Q175" s="59" t="n"/>
    </x:row>
    <x:row r="176">
      <x:c r="A176"/>
      <x:c r="B176"/>
      <x:c r="C176"/>
      <x:c r="D176"/>
      <x:c r="E176"/>
      <x:c r="F176"/>
      <x:c r="G176"/>
      <x:c r="H176"/>
      <x:c r="I176"/>
      <x:c r="J176"/>
      <x:c r="K176" s="59" t="n"/>
      <x:c r="L176" s="59" t="n"/>
      <x:c r="M176" s="59" t="n"/>
      <x:c r="N176" s="59" t="n"/>
      <x:c r="O176" s="59" t="n"/>
      <x:c r="P176" s="59" t="n"/>
      <x:c r="Q176" s="59" t="n"/>
    </x:row>
    <x:row r="177">
      <x:c r="A177"/>
      <x:c r="B177"/>
      <x:c r="C177"/>
      <x:c r="D177"/>
      <x:c r="E177"/>
      <x:c r="F177"/>
      <x:c r="G177"/>
      <x:c r="H177"/>
      <x:c r="I177"/>
      <x:c r="J177"/>
      <x:c r="K177" s="59" t="n"/>
      <x:c r="L177" s="59" t="n"/>
      <x:c r="M177" s="59" t="n"/>
      <x:c r="N177" s="59" t="n"/>
      <x:c r="O177" s="59" t="n"/>
      <x:c r="P177" s="59" t="n"/>
      <x:c r="Q177" s="59" t="n"/>
    </x:row>
    <x:row r="178">
      <x:c r="A178"/>
      <x:c r="B178"/>
      <x:c r="C178"/>
      <x:c r="D178"/>
      <x:c r="E178"/>
      <x:c r="F178"/>
      <x:c r="G178"/>
      <x:c r="H178"/>
      <x:c r="I178"/>
      <x:c r="J178"/>
      <x:c r="K178" s="59" t="n"/>
      <x:c r="L178" s="59" t="n"/>
      <x:c r="M178" s="59" t="n"/>
      <x:c r="N178" s="59" t="n"/>
      <x:c r="O178" s="59" t="n"/>
      <x:c r="P178" s="59" t="n"/>
      <x:c r="Q178" s="59" t="n"/>
    </x:row>
    <x:row r="179">
      <x:c r="A179"/>
      <x:c r="B179"/>
      <x:c r="C179"/>
      <x:c r="D179"/>
      <x:c r="E179"/>
      <x:c r="F179"/>
      <x:c r="G179"/>
      <x:c r="H179"/>
      <x:c r="I179"/>
      <x:c r="J179"/>
      <x:c r="K179" s="59" t="n"/>
      <x:c r="L179" s="59" t="n"/>
      <x:c r="M179" s="59" t="n"/>
      <x:c r="N179" s="59" t="n"/>
      <x:c r="O179" s="59" t="n"/>
      <x:c r="P179" s="59" t="n"/>
      <x:c r="Q179" s="59" t="n"/>
    </x:row>
    <x:row r="180">
      <x:c r="A180"/>
      <x:c r="B180"/>
      <x:c r="C180"/>
      <x:c r="D180"/>
      <x:c r="E180"/>
      <x:c r="F180"/>
      <x:c r="G180"/>
      <x:c r="H180"/>
      <x:c r="I180"/>
      <x:c r="J180"/>
      <x:c r="K180" s="59" t="n"/>
      <x:c r="L180" s="59" t="n"/>
      <x:c r="M180" s="59" t="n"/>
      <x:c r="N180" s="59" t="n"/>
      <x:c r="O180" s="59" t="n"/>
      <x:c r="P180" s="59" t="n"/>
      <x:c r="Q180" s="59" t="n"/>
    </x:row>
    <x:row r="181">
      <x:c r="A181"/>
      <x:c r="B181"/>
      <x:c r="C181"/>
      <x:c r="D181"/>
      <x:c r="E181"/>
      <x:c r="F181"/>
      <x:c r="G181"/>
      <x:c r="H181"/>
      <x:c r="I181"/>
      <x:c r="J181"/>
      <x:c r="K181" s="59" t="n"/>
      <x:c r="L181" s="59" t="n"/>
      <x:c r="M181" s="59" t="n"/>
      <x:c r="N181" s="59" t="n"/>
      <x:c r="O181" s="59" t="n"/>
      <x:c r="P181" s="59" t="n"/>
      <x:c r="Q181" s="59" t="n"/>
    </x:row>
    <x:row r="182">
      <x:c r="A182"/>
      <x:c r="B182"/>
      <x:c r="C182"/>
      <x:c r="D182"/>
      <x:c r="E182"/>
      <x:c r="F182"/>
      <x:c r="G182"/>
      <x:c r="H182"/>
      <x:c r="I182"/>
      <x:c r="J182"/>
      <x:c r="K182" s="59" t="n"/>
      <x:c r="L182" s="59" t="n"/>
      <x:c r="M182" s="59" t="n"/>
      <x:c r="N182" s="59" t="n"/>
      <x:c r="O182" s="59" t="n"/>
      <x:c r="P182" s="59" t="n"/>
      <x:c r="Q182" s="59" t="n"/>
    </x:row>
    <x:row r="183">
      <x:c r="A183"/>
      <x:c r="B183"/>
      <x:c r="C183"/>
      <x:c r="D183"/>
      <x:c r="E183"/>
      <x:c r="F183"/>
      <x:c r="G183"/>
      <x:c r="H183"/>
      <x:c r="I183"/>
      <x:c r="J183"/>
      <x:c r="K183" s="59" t="n"/>
      <x:c r="L183" s="59" t="n"/>
      <x:c r="M183" s="59" t="n"/>
      <x:c r="N183" s="59" t="n"/>
      <x:c r="O183" s="59" t="n"/>
      <x:c r="P183" s="59" t="n"/>
      <x:c r="Q183" s="59" t="n"/>
    </x:row>
    <x:row r="184">
      <x:c r="A184"/>
      <x:c r="B184"/>
      <x:c r="C184"/>
      <x:c r="D184"/>
      <x:c r="E184"/>
      <x:c r="F184"/>
      <x:c r="G184"/>
      <x:c r="H184"/>
      <x:c r="I184"/>
      <x:c r="J184"/>
      <x:c r="K184" s="59" t="n"/>
      <x:c r="L184" s="59" t="n"/>
      <x:c r="M184" s="59" t="n"/>
      <x:c r="N184" s="59" t="n"/>
      <x:c r="O184" s="59" t="n"/>
      <x:c r="P184" s="59" t="n"/>
      <x:c r="Q184" s="59" t="n"/>
    </x:row>
    <x:row r="185">
      <x:c r="A185"/>
      <x:c r="B185"/>
      <x:c r="C185"/>
      <x:c r="D185"/>
      <x:c r="E185"/>
      <x:c r="F185"/>
      <x:c r="G185"/>
      <x:c r="H185"/>
      <x:c r="I185"/>
      <x:c r="J185"/>
      <x:c r="K185" s="59" t="n"/>
      <x:c r="L185" s="59" t="n"/>
      <x:c r="M185" s="59" t="n"/>
      <x:c r="N185" s="59" t="n"/>
      <x:c r="O185" s="59" t="n"/>
      <x:c r="P185" s="59" t="n"/>
      <x:c r="Q185" s="59" t="n"/>
    </x:row>
    <x:row r="186">
      <x:c r="A186"/>
      <x:c r="B186"/>
      <x:c r="C186"/>
      <x:c r="D186"/>
      <x:c r="E186"/>
      <x:c r="F186"/>
      <x:c r="G186"/>
      <x:c r="H186"/>
      <x:c r="I186"/>
      <x:c r="J186"/>
      <x:c r="K186" s="59" t="n"/>
      <x:c r="L186" s="59" t="n"/>
      <x:c r="M186" s="59" t="n"/>
      <x:c r="N186" s="59" t="n"/>
      <x:c r="O186" s="59" t="n"/>
      <x:c r="P186" s="59" t="n"/>
      <x:c r="Q186" s="59" t="n"/>
    </x:row>
    <x:row r="187">
      <x:c r="A187"/>
      <x:c r="B187"/>
      <x:c r="C187"/>
      <x:c r="D187"/>
      <x:c r="E187"/>
      <x:c r="F187"/>
      <x:c r="G187"/>
      <x:c r="H187"/>
      <x:c r="I187"/>
      <x:c r="J187"/>
      <x:c r="K187" s="59" t="n"/>
      <x:c r="L187" s="59" t="n"/>
      <x:c r="M187" s="59" t="n"/>
      <x:c r="N187" s="59" t="n"/>
      <x:c r="O187" s="59" t="n"/>
      <x:c r="P187" s="59" t="n"/>
      <x:c r="Q187" s="59" t="n"/>
    </x:row>
    <x:row r="188">
      <x:c r="A188"/>
      <x:c r="B188"/>
      <x:c r="C188"/>
      <x:c r="D188"/>
      <x:c r="E188"/>
      <x:c r="F188"/>
      <x:c r="G188"/>
      <x:c r="H188"/>
      <x:c r="I188"/>
      <x:c r="J188"/>
      <x:c r="K188" s="59" t="n"/>
      <x:c r="L188" s="59" t="n"/>
      <x:c r="M188" s="59" t="n"/>
      <x:c r="N188" s="59" t="n"/>
      <x:c r="O188" s="59" t="n"/>
      <x:c r="P188" s="59" t="n"/>
      <x:c r="Q188" s="59" t="n"/>
    </x:row>
    <x:row r="189">
      <x:c r="A189"/>
      <x:c r="B189"/>
      <x:c r="C189"/>
      <x:c r="D189"/>
      <x:c r="E189"/>
      <x:c r="F189"/>
      <x:c r="G189"/>
      <x:c r="H189"/>
      <x:c r="I189"/>
      <x:c r="J189"/>
      <x:c r="K189" s="59" t="n"/>
      <x:c r="L189" s="59" t="n"/>
      <x:c r="M189" s="59" t="n"/>
      <x:c r="N189" s="59" t="n"/>
      <x:c r="O189" s="59" t="n"/>
      <x:c r="P189" s="59" t="n"/>
      <x:c r="Q189" s="59" t="n"/>
    </x:row>
    <x:row r="190">
      <x:c r="A190"/>
      <x:c r="B190"/>
      <x:c r="C190"/>
      <x:c r="D190"/>
      <x:c r="E190"/>
      <x:c r="F190"/>
      <x:c r="G190"/>
      <x:c r="H190"/>
      <x:c r="I190"/>
      <x:c r="J190"/>
      <x:c r="K190" s="59" t="n"/>
      <x:c r="L190" s="59" t="n"/>
      <x:c r="M190" s="59" t="n"/>
      <x:c r="N190" s="59" t="n"/>
      <x:c r="O190" s="59" t="n"/>
      <x:c r="P190" s="59" t="n"/>
      <x:c r="Q190" s="59" t="n"/>
    </x:row>
    <x:row r="191">
      <x:c r="A191"/>
      <x:c r="B191"/>
      <x:c r="C191"/>
      <x:c r="D191"/>
      <x:c r="E191"/>
      <x:c r="F191"/>
      <x:c r="G191"/>
      <x:c r="H191"/>
      <x:c r="I191"/>
      <x:c r="J191"/>
      <x:c r="K191" s="59" t="n"/>
      <x:c r="L191" s="59" t="n"/>
      <x:c r="M191" s="59" t="n"/>
      <x:c r="N191" s="59" t="n"/>
      <x:c r="O191" s="59" t="n"/>
      <x:c r="P191" s="59" t="n"/>
      <x:c r="Q191" s="59" t="n"/>
    </x:row>
    <x:row r="192">
      <x:c r="A192"/>
      <x:c r="B192"/>
      <x:c r="C192"/>
      <x:c r="D192"/>
      <x:c r="E192"/>
      <x:c r="F192"/>
      <x:c r="G192"/>
      <x:c r="H192"/>
      <x:c r="I192"/>
      <x:c r="J192"/>
      <x:c r="K192" s="59" t="n"/>
      <x:c r="L192" s="59" t="n"/>
      <x:c r="M192" s="59" t="n"/>
      <x:c r="N192" s="59" t="n"/>
      <x:c r="O192" s="59" t="n"/>
      <x:c r="P192" s="59" t="n"/>
      <x:c r="Q192" s="59" t="n"/>
    </x:row>
    <x:row r="193">
      <x:c r="A193"/>
      <x:c r="B193"/>
      <x:c r="C193"/>
      <x:c r="D193"/>
      <x:c r="E193"/>
      <x:c r="F193"/>
      <x:c r="G193"/>
      <x:c r="H193"/>
      <x:c r="I193"/>
      <x:c r="J193"/>
      <x:c r="K193" s="59" t="n"/>
      <x:c r="L193" s="59" t="n"/>
      <x:c r="M193" s="59" t="n"/>
      <x:c r="N193" s="59" t="n"/>
      <x:c r="O193" s="59" t="n"/>
      <x:c r="P193" s="59" t="n"/>
      <x:c r="Q193" s="59" t="n"/>
    </x:row>
    <x:row r="194">
      <x:c r="A194"/>
      <x:c r="B194"/>
      <x:c r="C194"/>
      <x:c r="D194"/>
      <x:c r="E194"/>
      <x:c r="F194"/>
      <x:c r="G194"/>
      <x:c r="H194"/>
      <x:c r="I194"/>
      <x:c r="J194"/>
      <x:c r="K194" s="59" t="n"/>
      <x:c r="L194" s="59" t="n"/>
      <x:c r="M194" s="59" t="n"/>
      <x:c r="N194" s="59" t="n"/>
      <x:c r="O194" s="59" t="n"/>
      <x:c r="P194" s="59" t="n"/>
      <x:c r="Q194" s="59" t="n"/>
    </x:row>
    <x:row r="195">
      <x:c r="A195"/>
      <x:c r="B195"/>
      <x:c r="C195"/>
      <x:c r="D195"/>
      <x:c r="E195"/>
      <x:c r="F195"/>
      <x:c r="G195"/>
      <x:c r="H195"/>
      <x:c r="I195"/>
      <x:c r="J195"/>
      <x:c r="K195" s="59" t="n"/>
      <x:c r="L195" s="59" t="n"/>
      <x:c r="M195" s="59" t="n"/>
      <x:c r="N195" s="59" t="n"/>
      <x:c r="O195" s="59" t="n"/>
      <x:c r="P195" s="59" t="n"/>
      <x:c r="Q195" s="59" t="n"/>
    </x:row>
    <x:row r="196">
      <x:c r="A196"/>
      <x:c r="B196"/>
      <x:c r="C196"/>
      <x:c r="D196"/>
      <x:c r="E196"/>
      <x:c r="F196"/>
      <x:c r="G196"/>
      <x:c r="H196"/>
      <x:c r="I196"/>
      <x:c r="J196"/>
      <x:c r="K196" s="59" t="n"/>
      <x:c r="L196" s="59" t="n"/>
      <x:c r="M196" s="59" t="n"/>
      <x:c r="N196" s="59" t="n"/>
      <x:c r="O196" s="59" t="n"/>
      <x:c r="P196" s="59" t="n"/>
      <x:c r="Q196" s="59" t="n"/>
    </x:row>
    <x:row r="197">
      <x:c r="A197"/>
      <x:c r="B197"/>
      <x:c r="C197"/>
      <x:c r="D197"/>
      <x:c r="E197"/>
      <x:c r="F197"/>
      <x:c r="G197"/>
      <x:c r="H197"/>
      <x:c r="I197"/>
      <x:c r="J197"/>
      <x:c r="K197" s="59" t="n"/>
      <x:c r="L197" s="59" t="n"/>
      <x:c r="M197" s="59" t="n"/>
      <x:c r="N197" s="59" t="n"/>
      <x:c r="O197" s="59" t="n"/>
      <x:c r="P197" s="59" t="n"/>
      <x:c r="Q197" s="59" t="n"/>
    </x:row>
    <x:row r="198">
      <x:c r="A198"/>
      <x:c r="B198"/>
      <x:c r="C198"/>
      <x:c r="D198"/>
      <x:c r="E198"/>
      <x:c r="F198"/>
      <x:c r="G198"/>
      <x:c r="H198"/>
      <x:c r="I198"/>
      <x:c r="J198"/>
      <x:c r="K198" s="59" t="n"/>
      <x:c r="L198" s="59" t="n"/>
      <x:c r="M198" s="59" t="n"/>
      <x:c r="N198" s="59" t="n"/>
      <x:c r="O198" s="59" t="n"/>
      <x:c r="P198" s="59" t="n"/>
      <x:c r="Q198" s="59" t="n"/>
    </x:row>
    <x:row r="199">
      <x:c r="A199"/>
      <x:c r="B199"/>
      <x:c r="C199"/>
      <x:c r="D199"/>
      <x:c r="E199"/>
      <x:c r="F199"/>
      <x:c r="G199"/>
      <x:c r="H199"/>
      <x:c r="I199"/>
      <x:c r="J199"/>
      <x:c r="K199" s="59" t="n"/>
      <x:c r="L199" s="59" t="n"/>
      <x:c r="M199" s="59" t="n"/>
      <x:c r="N199" s="59" t="n"/>
      <x:c r="O199" s="59" t="n"/>
      <x:c r="P199" s="59" t="n"/>
      <x:c r="Q199" s="59" t="n"/>
    </x:row>
    <x:row r="200">
      <x:c r="A200"/>
      <x:c r="B200"/>
      <x:c r="C200"/>
      <x:c r="D200"/>
      <x:c r="E200"/>
      <x:c r="F200"/>
      <x:c r="G200"/>
      <x:c r="H200"/>
      <x:c r="I200"/>
      <x:c r="J200"/>
      <x:c r="K200" s="59" t="n"/>
      <x:c r="L200" s="59" t="n"/>
      <x:c r="M200" s="59" t="n"/>
      <x:c r="N200" s="59" t="n"/>
      <x:c r="O200" s="59" t="n"/>
      <x:c r="P200" s="59" t="n"/>
      <x:c r="Q200" s="59" t="n"/>
    </x:row>
    <x:row r="201">
      <x:c r="A201"/>
      <x:c r="B201"/>
      <x:c r="C201"/>
      <x:c r="D201"/>
      <x:c r="E201"/>
      <x:c r="F201"/>
      <x:c r="G201"/>
      <x:c r="H201"/>
      <x:c r="I201"/>
      <x:c r="J201"/>
      <x:c r="K201" s="50" t="n"/>
      <x:c r="L201" s="50" t="n"/>
      <x:c r="M201" s="50" t="n"/>
      <x:c r="N201" s="50" t="n"/>
      <x:c r="O201" s="50" t="n"/>
      <x:c r="P201" s="50" t="n"/>
      <x:c r="Q201" s="50" t="n"/>
    </x:row>
  </x:sheetData>
  <x:mergeCells>
    <x:mergeCell ref="L4:Q4"/>
    <x:mergeCell ref="A1:J2"/>
    <x:mergeCell ref="L4:S4"/>
  </x:mergeCells>
  <x:dataValidations count="9">
    <x:dataValidation type="list" allowBlank="0" showDropDown="0" showInputMessage="0" showErrorMessage="0" sqref="D5:E200">
      <x:formula1>"Poor,Okay,Good,Low,Medium,High"</x:formula1>
    </x:dataValidation>
    <x:dataValidation type="list" sqref="D5:D7">
      <x:formula1>"Poor,Okay,Good,Excellent,Not recorded"</x:formula1>
    </x:dataValidation>
    <x:dataValidation type="list" sqref="E5:E7">
      <x:formula1>"Low,Medium,High,Not recorded"</x:formula1>
    </x:dataValidation>
    <x:dataValidation type="list" sqref="D5:D8">
      <x:formula1>"Poor,Okay,Good,Excellent,Not recorded"</x:formula1>
    </x:dataValidation>
    <x:dataValidation type="list" sqref="E5:E8">
      <x:formula1>"Low,Medium,High,Not recorded"</x:formula1>
    </x:dataValidation>
    <x:dataValidation type="list" sqref="D5:D9">
      <x:formula1>"Poor,Okay,Good,Excellent,Not recorded"</x:formula1>
    </x:dataValidation>
    <x:dataValidation type="list" sqref="E5:E9">
      <x:formula1>"Low,Medium,High,Not recorded"</x:formula1>
    </x:dataValidation>
    <x:dataValidation type="list" sqref="D5:D10">
      <x:formula1>"Poor,Okay,Good,Excellent,Not recorded"</x:formula1>
    </x:dataValidation>
    <x:dataValidation type="list" sqref="E5:E10">
      <x:formula1>"Low,Medium,High,Not recorded"</x:formula1>
    </x:dataValidation>
  </x:dataValidations>
  <x:pageMargins left="0.7" right="0.7" top="0.75" bottom="0.75" header="0.3" footer="0.3"/>
  <x:tableParts count="1">
    <x:tablePart xmlns:r="http://schemas.openxmlformats.org/officeDocument/2006/relationships" r:id="R7b0533ba26e4437b"/>
  </x:tableParts>
</x:worksheet>
</file>

<file path=xl/worksheets/sheet6.xml><?xml version="1.0" encoding="utf-8"?>
<x:worksheet xmlns:x="http://schemas.openxmlformats.org/spreadsheetml/2006/main">
  <x:sheetFormatPr baseColWidth="8" defaultRowHeight="15"/>
  <x:cols>
    <x:col min="1" max="1" width="22" hidden="0" customWidth="1"/>
    <x:col min="2" max="2" width="50" hidden="0" customWidth="1"/>
    <x:col min="3" max="3" width="50" hidden="0" customWidth="1"/>
    <x:col min="4" max="4" width="50" hidden="0" customWidth="1"/>
  </x:cols>
  <x:sheetData>
    <x:row r="1">
      <x:c r="A1" s="168" t="inlineStr">
        <x:is>
          <x:t xml:space="preserve">Program Rules &amp; Trainer Notes</x:t>
        </x:is>
      </x:c>
      <x:c r="B1" s="169" t="n"/>
      <x:c r="C1" s="169" t="n"/>
      <x:c r="D1" s="169" t="n"/>
      <x:c r="E1" s="53" t="n"/>
      <x:c r="F1" s="53" t="n"/>
      <x:c r="G1" s="53" t="n"/>
      <x:c r="H1" s="53" t="n"/>
    </x:row>
    <x:row r="2">
      <x:c r="A2" s="53" t="n"/>
      <x:c r="B2" s="53" t="n"/>
      <x:c r="C2" s="53" t="n"/>
      <x:c r="D2" s="53" t="n"/>
      <x:c r="E2" s="53" t="n"/>
      <x:c r="F2" s="53" t="n"/>
      <x:c r="G2" s="53" t="n"/>
      <x:c r="H2" s="53" t="n"/>
    </x:row>
    <x:row r="3">
      <x:c r="A3" s="59" t="n"/>
      <x:c r="B3" s="59" t="n"/>
      <x:c r="C3" s="59" t="n"/>
      <x:c r="D3" s="59" t="n"/>
      <x:c r="E3" s="59" t="n"/>
      <x:c r="F3" s="59" t="n"/>
      <x:c r="G3" s="59" t="n"/>
      <x:c r="H3" s="59" t="n"/>
    </x:row>
    <x:row r="4" ht="15" hidden="0" customHeight="1">
      <x:c r="A4" s="219" t="inlineStr">
        <x:is>
          <x:t xml:space="preserve">Category</x:t>
        </x:is>
      </x:c>
      <x:c r="B4" s="219" t="inlineStr">
        <x:is>
          <x:t xml:space="preserve">Rule / Observation</x:t>
        </x:is>
      </x:c>
      <x:c r="C4" s="219" t="inlineStr">
        <x:is>
          <x:t xml:space="preserve">Why It Matters</x:t>
        </x:is>
      </x:c>
      <x:c r="D4" s="219" t="inlineStr">
        <x:is>
          <x:t xml:space="preserve">Action</x:t>
        </x:is>
      </x:c>
      <x:c r="E4" s="94" t="n"/>
      <x:c r="F4" s="94" t="n"/>
      <x:c r="G4" s="94" t="n"/>
      <x:c r="H4" s="94" t="n"/>
    </x:row>
    <x:row r="5" ht="15" hidden="0" customHeight="1">
      <x:c r="A5" t="str">
        <x:v>Progression</x:v>
      </x:c>
      <x:c r="B5" t="str">
        <x:v>Increase reps before weight</x:v>
      </x:c>
      <x:c r="C5" t="str">
        <x:v>Keeps form stable and makes progress measurable</x:v>
      </x:c>
      <x:c r="D5" t="str">
        <x:v>Move up only after top of rep range is clean</x:v>
      </x:c>
      <x:c r="E5" s="59" t="n"/>
      <x:c r="F5" s="59" t="n"/>
      <x:c r="G5" s="59" t="n"/>
      <x:c r="H5" s="59" t="n"/>
    </x:row>
    <x:row r="6" ht="15" hidden="0" customHeight="1">
      <x:c r="A6" t="str">
        <x:v>Chest volume</x:v>
      </x:c>
      <x:c r="B6" t="str">
        <x:v>Maximum 3 pressing movements per session</x:v>
      </x:c>
      <x:c r="C6" t="str">
        <x:v>4 presses caused mild side-deltoid soreness</x:v>
      </x:c>
      <x:c r="D6" t="str">
        <x:v>Use Plate Chest Press OR Decline Press, not both</x:v>
      </x:c>
      <x:c r="E6" s="59" t="n"/>
      <x:c r="F6" s="59" t="n"/>
      <x:c r="G6" s="59" t="n"/>
      <x:c r="H6" s="59" t="n"/>
    </x:row>
    <x:row r="7" ht="15" hidden="0" customHeight="1">
      <x:c r="A7" t="str">
        <x:v>Back volume</x:v>
      </x:c>
      <x:c r="B7" t="str">
        <x:v>Avoid too many rowing variations</x:v>
      </x:c>
      <x:c r="C7" t="str">
        <x:v>Lower-back stabilizers fatigue before target muscles</x:v>
      </x:c>
      <x:c r="D7" t="str">
        <x:v>Use Chest-Supported Row OR Iso-High Row when needed</x:v>
      </x:c>
      <x:c r="E7" s="59" t="n"/>
      <x:c r="F7" s="59" t="n"/>
      <x:c r="G7" s="59" t="n"/>
      <x:c r="H7" s="59" t="n"/>
    </x:row>
    <x:row r="8" ht="15" hidden="0" customHeight="1">
      <x:c r="A8" t="str">
        <x:v>Isolation work</x:v>
      </x:c>
      <x:c r="B8" t="str">
        <x:v>Form takes priority over load</x:v>
      </x:c>
      <x:c r="C8" t="str">
        <x:v>Heavy cable fly and concentration curl can shift tension away</x:v>
      </x:c>
      <x:c r="D8" t="str">
        <x:v>Reduce load if range or control breaks</x:v>
      </x:c>
      <x:c r="E8" s="59" t="n"/>
      <x:c r="F8" s="59" t="n"/>
      <x:c r="G8" s="59" t="n"/>
      <x:c r="H8" s="59" t="n"/>
    </x:row>
    <x:row r="9" ht="15" hidden="0" customHeight="1">
      <x:c r="A9" t="str">
        <x:v>Pain rule</x:v>
      </x:c>
      <x:c r="B9" t="str">
        <x:v>Muscle soreness is acceptable; joint/sharp pain is not</x:v>
      </x:c>
      <x:c r="C9" t="str">
        <x:v>Helps distinguish recovery from injury risk</x:v>
      </x:c>
      <x:c r="D9" t="str">
        <x:v>Stop or modify if pain becomes sharp, worsening, or joint-based</x:v>
      </x:c>
      <x:c r="E9" s="59" t="n"/>
      <x:c r="F9" s="59" t="n"/>
      <x:c r="G9" s="59" t="n"/>
      <x:c r="H9" s="59" t="n"/>
    </x:row>
    <x:row r="10" ht="15" hidden="0" customHeight="1">
      <x:c r="A10" t="str">
        <x:v>Deload</x:v>
      </x:c>
      <x:c r="B10" t="str">
        <x:v>Consider after 8–9 hard weeks</x:v>
      </x:c>
      <x:c r="C10" t="str">
        <x:v>Supports recovery and continued progress</x:v>
      </x:c>
      <x:c r="D10" t="str">
        <x:v>Reduce sets and load by 10–15% for one week</x:v>
      </x:c>
      <x:c r="E10" s="59" t="n"/>
      <x:c r="F10" s="59" t="n"/>
      <x:c r="G10" s="59" t="n"/>
      <x:c r="H10" s="59" t="n"/>
    </x:row>
    <x:row r="11" ht="15" hidden="0" customHeight="1">
      <x:c r="A11" t="str">
        <x:v>Body goal</x:v>
      </x:c>
      <x:c r="B11" t="str">
        <x:v>Track waist weekly, not just scale weight</x:v>
      </x:c>
      <x:c r="C11" t="str">
        <x:v>Muscle gain can mask fat loss on the scale</x:v>
      </x:c>
      <x:c r="D11" t="str">
        <x:v>Measure Sunday morning under consistent conditions</x:v>
      </x:c>
      <x:c r="E11" s="59" t="n"/>
      <x:c r="F11" s="59" t="n"/>
      <x:c r="G11" s="59" t="n"/>
      <x:c r="H11" s="59" t="n"/>
    </x:row>
    <x:row r="12" ht="15" hidden="0" customHeight="1">
      <x:c r="A12" t="str">
        <x:v>Conditioning</x:v>
      </x:c>
      <x:c r="B12" t="str">
        <x:v>Swimming 1–3 times weekly is useful</x:v>
      </x:c>
      <x:c r="C12" t="str">
        <x:v>Adds low-impact cardio and skill work</x:v>
      </x:c>
      <x:c r="D12" t="str">
        <x:v>Avoid hard swim immediately after intense upper-body day</x:v>
      </x:c>
      <x:c r="E12" s="59" t="n"/>
      <x:c r="F12" s="59" t="n"/>
      <x:c r="G12" s="59" t="n"/>
      <x:c r="H12" s="59" t="n"/>
    </x:row>
    <x:row r="13" ht="15" hidden="0" customHeight="1">
      <x:c r="A13" t="str">
        <x:v>Set classification</x:v>
      </x:c>
      <x:c r="B13" t="str">
        <x:v>Mark warm-up, working, back-off, drop, or assisted</x:v>
      </x:c>
      <x:c r="C13" t="str">
        <x:v>Set entries are not the same as effective training volume</x:v>
      </x:c>
      <x:c r="D13" t="str">
        <x:v>Count working sets separately during review</x:v>
      </x:c>
    </x:row>
    <x:row r="14" ht="15" hidden="0" customHeight="1">
      <x:c r="A14" t="str">
        <x:v>Effort / RIR</x:v>
      </x:c>
      <x:c r="B14" t="str">
        <x:v>Record RIR on every future working set</x:v>
      </x:c>
      <x:c r="C14" t="str">
        <x:v>Allows progression without requiring failure</x:v>
      </x:c>
      <x:c r="D14" t="str">
        <x:v>Most working sets should finish with controlled technique</x:v>
      </x:c>
    </x:row>
    <x:row r="15" ht="15" hidden="0" customHeight="1">
      <x:c r="A15" t="str">
        <x:v>Body recomposition</x:v>
      </x:c>
      <x:c r="B15" t="str">
        <x:v>Use weekly average weight plus waist trend</x:v>
      </x:c>
      <x:c r="C15" t="str">
        <x:v>Single weigh-ins cannot show the direction reliably</x:v>
      </x:c>
      <x:c r="D15" t="str">
        <x:v>Review every Sunday under consistent conditions</x:v>
      </x:c>
    </x:row>
    <x:row r="16" ht="15" hidden="0" customHeight="1">
      <x:c r="A16" t="str">
        <x:v>Nutrition</x:v>
      </x:c>
      <x:c r="B16" t="str">
        <x:v>Protein target provisional pending verified health and diet inputs</x:v>
      </x:c>
      <x:c r="C16" t="str">
        <x:v>Must fit the confirmed vegetarian pattern</x:v>
      </x:c>
      <x:c r="D16" t="str">
        <x:v>Build the plan from confirmed foods and schedule</x:v>
      </x:c>
    </x:row>
    <x:row r="17" ht="15" hidden="0" customHeight="1">
      <x:c r="A17" t="str">
        <x:v>Readiness</x:v>
      </x:c>
      <x:c r="B17" t="str">
        <x:v>Use Green / Yellow / Red before training</x:v>
      </x:c>
      <x:c r="C17" t="str">
        <x:v>Adjusts load and volume to recovery and pain</x:v>
      </x:c>
      <x:c r="D17" t="str">
        <x:v>Stop for sharp, joint, worsening or radiating pain, weakness, or lost motion</x:v>
      </x:c>
    </x:row>
    <x:row r="18" ht="15" hidden="0" customHeight="1">
      <x:c r="A18" t="str">
        <x:v>Late caffeine / sleep</x:v>
      </x:c>
      <x:c r="B18" t="str">
        <x:v>Coffee is used before a ~21:00 session and bedtime is ~02:00</x:v>
      </x:c>
      <x:c r="C18" t="str">
        <x:v>Caffeine can reduce sleep even when total time in bed looks adequate</x:v>
      </x:c>
      <x:c r="D18" t="str">
        <x:v>Verify dose and EAA+ label; trial decaf/no late caffeine for 7-14 days and log sleep</x:v>
      </x:c>
    </x:row>
    <x:row r="19" ht="15" hidden="0" customHeight="1">
      <x:c r="A19" t="str">
        <x:v>Supplement verification</x:v>
      </x:c>
      <x:c r="B19" t="str">
        <x:v>Product names are recorded but exact labels and serving sizes are not</x:v>
      </x:c>
      <x:c r="C19" t="str">
        <x:v>Formulas and caffeine can vary by product/version</x:v>
      </x:c>
      <x:c r="D19" t="str">
        <x:v>Preserve as To verify until front/back labels are supplied</x:v>
      </x:c>
    </x:row>
    <x:row r="20" ht="15" hidden="0" customHeight="1">
      <x:c r="A20" t="str">
        <x:v>Nutrition evidence</x:v>
      </x:c>
      <x:c r="B20" t="str">
        <x:v>Only 75 g/day is explicitly labeled in the reported meal plan</x:v>
      </x:c>
      <x:c r="C20" t="str">
        <x:v>Unquantified foods could materially change the total</x:v>
      </x:c>
      <x:c r="D20" t="str">
        <x:v>Do not calculate total protein or calories until portions are supplied</x:v>
      </x:c>
    </x:row>
    <x:row r="21" ht="15" hidden="0" customHeight="1">
      <x:c r="A21" t="str">
        <x:v>Sunday check-in</x:v>
      </x:c>
      <x:c r="B21" t="str">
        <x:v>Use post-bathroom, pre-food morning conditions</x:v>
      </x:c>
      <x:c r="C21" t="str">
        <x:v>Consistency makes weight and waist trends interpretable</x:v>
      </x:c>
      <x:c r="D21" t="str">
        <x:v>Record weight and waist at the navel on 2026-08-09, then weekly</x:v>
      </x:c>
    </x:row>
    <x:row r="22" ht="15" hidden="0" customHeight="1">
      <x:c r="A22" t="str">
        <x:v>Shoulders baseline</x:v>
      </x:c>
      <x:c r="B22" t="str">
        <x:v>First tracked Shoulder session is still pending after Legs</x:v>
      </x:c>
      <x:c r="C22" t="str">
        <x:v>Previous side-deltoid soreness makes readiness important</x:v>
      </x:c>
      <x:c r="D22" t="str">
        <x:v>Before training, report sleep, energy, soreness/pain, weakness and range of motion</x:v>
      </x:c>
    </x:row>
    <x:row r="23" ht="39.599998474121094" hidden="0" customHeight="1">
      <x:c r="A23" t="str">
        <x:v>EAA+ label verified</x:v>
      </x:c>
      <x:c r="B23" t="str">
        <x:v>MuscleTech EAA+ Energy provides 100 mg caffeine
and 7.49 g EAAs per 13.2 g scoop</x:v>
      </x:c>
      <x:c r="C23" t="str">
        <x:v>Using it at ~21:00 while also taking coffee
creates avoidable late stimulant stacking</x:v>
      </x:c>
      <x:c r="D23" t="str">
        <x:v>Do not combine it with pre-workout coffee;
prefer caffeine-free intra-workout hydration;
run a 7-14-day sleep trial</x:v>
      </x:c>
    </x:row>
    <x:row r="24" ht="15" hidden="0" customHeight="1">
      <x:c r="A24" t="str">
        <x:v>Shoulder baseline volume</x:v>
      </x:c>
      <x:c r="B24" t="str">
        <x:v>Keep all six familiar exercises but reduce the next Shoulder session to about 15 working sets</x:v>
      </x:c>
      <x:c r="C24" t="str">
        <x:v>The baseline used 19 working entries, five RIR 0 sets, several RIR 1 sets, and finishing energy fell to Low-Medium</x:v>
      </x:c>
      <x:c r="D24" t="str">
        <x:v>Use 3 press, 3 dumbbell lateral, 3 reverse pec deck, 2 face pull, 2 cable lateral and 2 shrug sets; mostly RIR 2</x:v>
      </x:c>
    </x:row>
    <x:row r="25" ht="15" hidden="0" customHeight="1">
      <x:c r="A25" t="str">
        <x:v>Triceps readiness after Shoulders</x:v>
      </x:c>
      <x:c r="B25" t="str">
        <x:v>Check shoulder/triceps soreness, sleep, energy and joint pain before the next-day Triceps session</x:v>
      </x:c>
      <x:c r="C25" t="str">
        <x:v>High Shoulder effort may affect pressing stability and overhead triceps work even though this session was pain-free</x:v>
      </x:c>
      <x:c r="D25" t="str">
        <x:v>Proceed only if pain-free and readiness is acceptable; reduce or modify overhead work if the deltoid is sore</x:v>
      </x:c>
    </x:row>
    <x:row r="26" ht="15" hidden="0" customHeight="1">
      <x:c r="A26" t="str">
        <x:v>No-coffee trial - session 1</x:v>
      </x:c>
      <x:c r="B26" t="str">
        <x:v>Vipin reported equal workout energy after omitting black coffee while using one full EAA+ Energy scoop</x:v>
      </x:c>
      <x:c r="C26" t="str">
        <x:v>This suggests the coffee may not be needed for perceived workout energy, but the EAA+ still supplied 100 mg caffeine</x:v>
      </x:c>
      <x:c r="D26" t="str">
        <x:v>Record sleep onset, awakenings, sleep quality and morning freshness; keep the next test conditions consistent</x:v>
      </x:c>
    </x:row>
    <x:row r="27" ht="15" hidden="0" customHeight="1">
      <x:c r="A27" t="str">
        <x:v>No-coffee trial - sleep outcome 1</x:v>
      </x:c>
      <x:c r="B27" t="str">
        <x:v>After no black coffee and one 100 mg EAA+ Energy serving, Vipin slept about 02:30-10:30 and reported very good, relaxing sleep with strong morning energy</x:v>
      </x:c>
      <x:c r="C27" t="str">
        <x:v>This is a favorable subjective result, but bedtime was deliberately delayed and it is only one night, so it does not prove late caffeine had no effect</x:v>
      </x:c>
      <x:c r="D27" t="str">
        <x:v>Continue without black coffee and record 3-7 comparable nights: sleep onset, awakenings, quality and morning freshness</x:v>
      </x:c>
    </x:row>
    <x:row r="28" ht="15" hidden="0" customHeight="1">
      <x:c r="A28" t="str">
        <x:v>Triceps baseline volume</x:v>
      </x:c>
      <x:c r="B28" t="str">
        <x:v>Vipin prefers six exercises with three sets each; cap the next session at exactly 18 working sets</x:v>
      </x:c>
      <x:c r="C28" t="str">
        <x:v>The baseline reached 20 working sets, 14 known RIR 1 sets and one drop set, although it remained pain-free</x:v>
      </x:c>
      <x:c r="D28" t="str">
        <x:v>No fourth sets or drop sets; keep most work at RIR 2-3 and reduce load when the target reserve is missed</x:v>
      </x:c>
    </x:row>
    <x:row r="29" ht="15" hidden="0" customHeight="1">
      <x:c r="A29" t="str">
        <x:v>Assisted dip progression</x:v>
      </x:c>
      <x:c r="B29" t="str">
        <x:v>Use the assisted dip machine rather than deep bench dips or fatigued bodyweight attempts</x:v>
      </x:c>
      <x:c r="C29" t="str">
        <x:v>Machine assistance allows controlled progression while limiting anterior-shoulder stress; higher support weight is easier</x:v>
      </x:c>
      <x:c r="D29" t="str">
        <x:v>Use 70 kg assistance for 3 x 10-12 at RIR 2; reduce assistance only after completing 3 x 12 at RIR 2</x:v>
      </x:c>
    </x:row>
    <x:row r="30" ht="15" hidden="0" customHeight="1">
      <x:c r="A30" t="str">
        <x:v>Sunday measurement baseline</x:v>
      </x:c>
      <x:c r="B30" t="str">
        <x:v>Use 88.8 kg and 99.1 cm waist as the first reported Sunday trend point; do not compare it directly with the 91.5 kg post-workout gym reading</x:v>
      </x:c>
      <x:c r="C30" t="str">
        <x:v>Scale, time, clothing, food, fluid and training conditions can create large short-term differences that are not fat change</x:v>
      </x:c>
      <x:c r="D30" t="str">
        <x:v>Collect at least three consistent morning weights when practical and repeat navel waist weekly; confirm bathroom/pre-food protocol</x:v>
      </x:c>
    </x:row>
    <x:row r="31" ht="15" hidden="0" customHeight="1">
      <x:c r="A31" t="str">
        <x:v>Waist versus trouser size</x:v>
      </x:c>
      <x:c r="B31" t="str">
        <x:v>A 39 in navel measurement can coexist with size-34 trousers</x:v>
      </x:c>
      <x:c r="C31" t="str">
        <x:v>Trousers commonly sit below the navel and labelled sizes may differ from actual garment circumference because of cut, stretch and vanity sizing</x:v>
      </x:c>
      <x:c r="D31" t="str">
        <x:v>Judge progress from the same anatomical navel measurement, not the clothing label</x:v>
      </x:c>
    </x:row>
    <x:row r="32" ht="15" hidden="0" customHeight="1">
      <x:c r="A32" t="str">
        <x:v>EAA serving routine confirmed</x:v>
      </x:c>
      <x:c r="B32" t="str">
        <x:v>Vipin reports always taking one full 13.2 g EAA+ Energy scoop per workout</x:v>
      </x:c>
      <x:c r="C32" t="str">
        <x:v>Each workout therefore includes 100 mg caffeine and 7.49 g EAAs from this product unless Vipin reports an exception</x:v>
      </x:c>
      <x:c r="D32" t="str">
        <x:v>Continue avoiding additional black coffee during the sleep trial and record any serving exception</x:v>
      </x:c>
    </x:row>
    <x:row r="33" ht="15" hidden="0" customHeight="1">
      <x:c r="A33" t="str">
        <x:v>Measurement protocol confirmed</x:v>
      </x:c>
      <x:c r="B33" t="str">
        <x:v>The 2026-08-09 readings of 88.8 kg and 99.1 cm were taken after using the bathroom and before food or drink</x:v>
      </x:c>
      <x:c r="C33" t="str">
        <x:v>This makes them suitable as the standardized first Sunday trend point, while the 91.5 kg post-workout gym reading remains non-comparable</x:v>
      </x:c>
      <x:c r="D33" t="str">
        <x:v>Repeat the same protocol weekly and use multiple morning weights for the weekly average</x:v>
      </x:c>
    </x:row>
    <x:row r="34" ht="15" hidden="0" customHeight="1">
      <x:c r="A34" t="str">
        <x:v>Muesli protein verified</x:v>
      </x:c>
      <x:c r="B34" t="str">
        <x:v>Kellogg's label gives 8.3 g protein per 100 g; the regular 60 g portion supplies 4.98 g. The submitted scale photo displays 61 g.</x:v>
      </x:c>
      <x:c r="C34" t="str">
        <x:v>The known daily protein floor rises from 75 g to 79.98 g, but milk, rotis, sabji, tofu, bread, lentils and other foods remain unquantified.</x:v>
      </x:c>
      <x:c r="D34" t="str">
        <x:v>Use the Protein Calculator; count about 31.0 g at breakfast before milk and preserve the complete daily total as To verify.</x:v>
      </x:c>
    </x:row>
    <x:row r="35" ht="39.599998474121094" hidden="0" customHeight="1">
      <x:c r="A35" t="str">
        <x:v>Milk, tofu and bread labels</x:v>
      </x:c>
      <x:c r="B35" t="str">
        <x:v>200 mL milk: approximately 6.0 g protein.
29 g tofu: 4.12 g protein.
Bread: 9.74 g/100 g; two-slice weight not explicit.</x:v>
      </x:c>
      <x:c r="C35" t="str">
        <x:v>Known minimum rises from 79.98 g to 90.10 g/day.
If two slices weigh 50 g, bread adds 4.87 g
and the provisional total becomes 94.97 g/day.</x:v>
      </x:c>
      <x:c r="D35" t="str">
        <x:v>Use 90.10 g as the current known minimum.
Keep 94.97 g conditional.
Weigh two bread slices once.</x:v>
      </x:c>
    </x:row>
    <x:row r="36" ht="39.599998474121094" hidden="0" customHeight="1">
      <x:c r="A36" t="str">
        <x:v>Bread serving confirmed</x:v>
      </x:c>
      <x:c r="B36" t="str">
        <x:v>Vipin confirmed two bread slices equal
one package serving: approximately 50 g.
Bread protein = 4.87 g.</x:v>
      </x:c>
      <x:c r="C36" t="str">
        <x:v>Tofu sandwich protein is now 8.99 g.
Quantified daily minimum rises
from 90.10 g to 94.97 g.</x:v>
      </x:c>
      <x:c r="D36" t="str">
        <x:v>Promote bread from conditional to verified.
Count 94.97 g/day as the current minimum.
Quantify cooked lentils next.</x:v>
      </x:c>
    </x:row>
    <x:row r="37" ht="39.599998474121094" hidden="0" customHeight="1">
      <x:c r="A37" t="str">
        <x:v>Roti serving verified</x:v>
      </x:c>
      <x:c r="B37" t="str">
        <x:v>270 g dry atta makes 8 rotis; Vipin eats 3.
Consumed dry-atta equivalent = 101.25 g.
Label protein = 10.5 g/100 g.</x:v>
      </x:c>
      <x:c r="C37" t="str">
        <x:v>Three rotis provide 10.63 g protein.
Quantified daily minimum rises
from 94.97 g to 105.60 g.</x:v>
      </x:c>
      <x:c r="D37" t="str">
        <x:v>Count 105.60 g/day as the current minimum.
Ghee amount/frequency remains To verify for calories.
Quantify cooked lentils next.</x:v>
      </x:c>
    </x:row>
    <x:row r="38" ht="90" hidden="0" customHeight="1">
      <x:c r="A38" s="325" t="str">
        <x:v>Rest-day caffeine-free sleep</x:v>
      </x:c>
      <x:c r="B38" s="325" t="str">
        <x:v>2026-08-09 was a rest day; no EAA+ was taken.
Sleep: ~23:30 to ~08:00 (~8.5 h).
Woke fresh on 2026-08-10.</x:v>
      </x:c>
      <x:c r="C38" s="325" t="str">
        <x:v>This is a favorable recovery datapoint and removes the product's 100 mg caffeine that night.
It does not isolate cause because rest status and bedtime choice also changed; other caffeine was not reconfirmed.</x:v>
      </x:c>
      <x:c r="D38" s="325" t="str">
        <x:v>Continue no extra black coffee.
Log 5-7 workout/rest nights with bedtime, wake time, awakenings and morning freshness before changing the EAA+ routine.</x:v>
      </x:c>
    </x:row>
    <x:row r="39" ht="44" customHeight="1">
      <x:c r="A39" s="170" t="str">
        <x:v>Effort cap</x:v>
      </x:c>
      <x:c r="B39" s="170" t="str">
        <x:v>Six exercises may remain, but most sessions should use about 15-18 direct working sets</x:v>
      </x:c>
      <x:c r="C39" s="170" t="str">
        <x:v>Repeated 19-22 set sessions ended with Low or Low-Medium energy</x:v>
      </x:c>
      <x:c r="D39" s="170" t="str">
        <x:v>Use three working sets per exercise as the default and remove fourth sets</x:v>
      </x:c>
    </x:row>
    <x:row r="40" ht="44" customHeight="1">
      <x:c r="A40" s="170" t="str">
        <x:v>Hyperextension progression</x:v>
      </x:c>
      <x:c r="B40" s="170" t="str">
        <x:v>The +20 kg set on 2026-08-17 reached RIR 0, required a pause and produced lower-back pump without pain</x:v>
      </x:c>
      <x:c r="C40" s="170" t="str">
        <x:v>It added fatigue without improving the next-session target</x:v>
      </x:c>
      <x:c r="D40" s="170" t="str">
        <x:v>Return to body weight and +10 kg only; finish at RIR 2 and stop for pain</x:v>
      </x:c>
    </x:row>
    <x:row r="41" ht="44" customHeight="1">
      <x:c r="A41" s="170" t="str">
        <x:v>No-coffee standing default</x:v>
      </x:c>
      <x:c r="B41" s="170" t="str">
        <x:v>Vipin now trains without additional black coffee while still taking one full caffeinated EAA+ scoop</x:v>
      </x:c>
      <x:c r="C41" s="170" t="str">
        <x:v>This removes unnecessary stimulant stacking but still leaves 100 mg caffeine late in the day</x:v>
      </x:c>
      <x:c r="D41" s="170" t="str">
        <x:v>Assume no coffee unless an exception is reported; continue sleep tracking</x:v>
      </x:c>
    </x:row>
    <x:row r="42" ht="44" customHeight="1">
      <x:c r="A42" s="170" t="str">
        <x:v>Yogurt protein update</x:v>
      </x:c>
      <x:c r="B42" s="170" t="str">
        <x:v>Lunch Epigamia Turbo yogurt is reported as 17 g protein; dinner flavored version as 15 g</x:v>
      </x:c>
      <x:c r="C42" s="170" t="str">
        <x:v>The quantified daily minimum rises by 8 g from 105.60 to 113.60 g</x:v>
      </x:c>
      <x:c r="D42" s="170" t="str">
        <x:v>Keep product labels and serving weights To verify; do not count unquantified lentils, sabji, fruit or salad yet</x:v>
      </x:c>
    </x:row>
    <x:row r="43" ht="46" customHeight="1">
      <x:c r="A43" s="170" t="str">
        <x:v>Chest volume cap applied</x:v>
      </x:c>
      <x:c r="B43" s="170" t="str">
        <x:v>The 2026-08-18 Chest session used exactly 15 direct sets plus three 60-second plank sets with no assistance</x:v>
      </x:c>
      <x:c r="C43" s="170" t="str">
        <x:v>Multiple exercises progressed while final energy still fell to Medium-Low</x:v>
      </x:c>
      <x:c r="D43" s="170" t="str">
        <x:v>Retain the 15-set chest cap, improve RIR before load, and keep core work separate</x:v>
      </x:c>
    </x:row>
    <x:row r="44" ht="48" customHeight="1">
      <x:c r="A44" s="170" t="str">
        <x:v>Second standardized Sunday check-in</x:v>
      </x:c>
      <x:c r="B44" s="170" t="str">
        <x:v>2026-08-16: 88.3 kg and 96.5 cm waist, measured after bathroom and before food/drink with abdomen relaxed and tape at navel</x:v>
      </x:c>
      <x:c r="C44" s="170" t="str">
        <x:v>Versus 2026-08-09: -0.5 kg and -2.6 cm; direction is favorable but one week is insufficient to attribute all change to fat loss</x:v>
      </x:c>
      <x:c r="D44" s="170" t="str">
        <x:v>Repeat identical protocol weekly and assess the multi-week trend</x:v>
      </x:c>
    </x:row>
    <x:row r="45" ht="48" customHeight="1">
      <x:c r="A45" s="170" t="str">
        <x:v>Biceps effort distribution improved</x:v>
      </x:c>
      <x:c r="B45" s="170" t="str">
        <x:v>2026-08-19 used exactly 18 working sets: 3 at RIR 3, 12 at RIR 2 and 3 at RIR 1; no RIR 0, assistance or body swing</x:v>
      </x:c>
      <x:c r="C45" s="170" t="str">
        <x:v>This is materially better controlled than the 2026-08-12 session, which had 20 sets, 16 at RIR 1 and one at RIR 0</x:v>
      </x:c>
      <x:c r="D45" s="170" t="str">
        <x:v>Keep the 18-set ceiling and use exactly three sets per exercise next time</x:v>
      </x:c>
    </x:row>
    <x:row r="46" ht="48" customHeight="1">
      <x:c r="A46" s="170" t="str">
        <x:v>Incline curl substitution</x:v>
      </x:c>
      <x:c r="B46" s="170" t="str">
        <x:v>Incline Dumbbell Curl replaced Cable Curl and established a clean 7.5-12.5 kg-each baseline without shoulder pain</x:v>
      </x:c>
      <x:c r="C46" s="170" t="str">
        <x:v>The lengthened-position curl was tolerated, while historical cable-curl performance remains preserved</x:v>
      </x:c>
      <x:c r="D46" s="170" t="str">
        <x:v>Keep incline curl in the active sequence; do not force the bottom stretch</x:v>
      </x:c>
    </x:row>
    <x:row r="47" ht="52" customHeight="1">
      <x:c r="A47" s="170" t="str">
        <x:v>Legs effort and fatigue</x:v>
      </x:c>
      <x:c r="B47" s="170" t="str">
        <x:v>2026-08-20 used exactly 18 sets: 13 at RIR 2, four at RIR 1 and one at RIR 0; final energy Low; duration 100 min</x:v>
      </x:c>
      <x:c r="C47" s="170" t="str">
        <x:v>Volume cap was respected, but one failure set and one assisted set kept effort too high</x:v>
      </x:c>
      <x:c r="D47" s="170" t="str">
        <x:v>Next Legs: no assisted repetitions, no RIR 0 work, and retain the 18-set ceiling</x:v>
      </x:c>
    </x:row>
    <x:row r="48" ht="52" customHeight="1">
      <x:c r="A48" s="170" t="str">
        <x:v>RDL technique baseline</x:v>
      </x:c>
      <x:c r="B48" s="170" t="str">
        <x:v>Dumbbell RDL at 12.5-15 kg each produced more lower-back sensation than hamstring tension; post-session back feeling was a normal pump, not pain</x:v>
      </x:c>
      <x:c r="C48" s="170" t="str">
        <x:v>This is not a load-progression baseline because the intended muscle did not dominate</x:v>
      </x:c>
      <x:c r="D48" s="170" t="str">
        <x:v>Reset to 10 kg each after a wall-hinge drill; stop if the back dominates or hip pain appears</x:v>
      </x:c>
    </x:row>
    <x:row r="49" ht="52" customHeight="1">
      <x:c r="A49" s="170" t="str">
        <x:v>Hip pain follow-up</x:v>
      </x:c>
      <x:c r="B49" s="170" t="str">
        <x:v>A little hip pain was reported after the 2026-08-20 Legs workout; side, exact location, trigger and 0-10 severity remain To verify</x:v>
      </x:c>
      <x:c r="C49" s="170" t="str">
        <x:v>Do not infer a diagnosis or progress hip-loaded work until the symptom is characterized</x:v>
      </x:c>
      <x:c r="D49" s="170" t="str">
        <x:v>Collect details before Shoulders; modify or stop training if pain persists, worsens or affects walking</x:v>
      </x:c>
    </x:row>
    <x:row r="50" ht="52" customHeight="1">
      <x:c r="A50" s="170" t="str">
        <x:v>Shoulder performance progression</x:v>
      </x:c>
      <x:c r="B50" s="170" t="str">
        <x:v>2026-08-21 had 20 shoulder working sets: 5 at RIR 3, 11 at RIR 2 and 4 at RIR 1; no pain or assistance</x:v>
      </x:c>
      <x:c r="C50" s="170" t="str">
        <x:v>Press, reverse pec deck and lateral raises objectively progressed</x:v>
      </x:c>
      <x:c r="D50" s="170" t="str">
        <x:v>Keep loads; improve reserve before adding weight</x:v>
      </x:c>
    </x:row>
    <x:row r="51" ht="52" customHeight="1">
      <x:c r="A51" s="170" t="str">
        <x:v>Shoulder volume over cap</x:v>
      </x:c>
      <x:c r="B51" s="170" t="str">
        <x:v>Two experimental rear-delt sets raised direct shoulder volume from the planned 18 to 20 sets</x:v>
      </x:c>
      <x:c r="C51" s="170" t="str">
        <x:v>The experiment still counts as fatigue even though it is not in the active sequence</x:v>
      </x:c>
      <x:c r="D51" s="170" t="str">
        <x:v>Next Shoulders: exactly 18 working sets and no experimental extras</x:v>
      </x:c>
    </x:row>
    <x:row r="52" ht="52" customHeight="1">
      <x:c r="A52" s="170" t="str">
        <x:v>Cable shrug poor stimulus</x:v>
      </x:c>
      <x:c r="B52" s="170" t="str">
        <x:v>60-80 kg total-stack low-pulley cable shrugs produced low trap sensation; elbows tended to bend but were controlled</x:v>
      </x:c>
      <x:c r="C52" s="170" t="str">
        <x:v>Recorded numbers are not a useful progression target; cable geometry/effective resistance To verify</x:v>
      </x:c>
      <x:c r="D52" s="170" t="str">
        <x:v>Return to dumbbell shrugs or a dedicated shrug machine</x:v>
      </x:c>
    </x:row>
    <x:row r="53" ht="52" customHeight="1">
      <x:c r="A53" s="170" t="str">
        <x:v>Shoulder core and cardio finishers</x:v>
      </x:c>
      <x:c r="B53" s="170" t="str">
        <x:v>Completed 3 x 60-sec planks and 10 min at displayed speed 4 and 12% incline without pain</x:v>
      </x:c>
      <x:c r="C53" s="170" t="str">
        <x:v>The steep incline was conditioning, not easy recovery cardio, one day after Legs</x:v>
      </x:c>
      <x:c r="D53" s="170" t="str">
        <x:v>When recovery is the goal use an easier 3-4% incline; speed unit To verify</x:v>
      </x:c>
    </x:row>
    <x:row r="54" ht="52" customHeight="1">
      <x:c r="A54" s="170" t="str">
        <x:v>Delayed soreness follow-up</x:v>
      </x:c>
      <x:c r="B54" s="170" t="str">
        <x:v>Immediate shoulder pump was Low-Medium; delayed shoulder soreness remains To verify</x:v>
      </x:c>
      <x:c r="C54" s="170" t="str">
        <x:v>Immediate pump does not establish recovery readiness</x:v>
      </x:c>
      <x:c r="D54" s="170" t="str">
        <x:v>Check shoulder, hip and leg response the following morning before Triceps</x:v>
      </x:c>
    </x:row>
    <x:row r="55" ht="52" customHeight="1">
      <x:c r="A55" s="170" t="str">
        <x:v>Triceps performance and effort</x:v>
      </x:c>
      <x:c r="B55" s="170" t="str">
        <x:v>2026-08-22 used 19 working sets: 4 at RIR 3, 12 at RIR 2 and 3 at RIR 1; no failure, pain, forced reps or breakdown; duration 75 min</x:v>
      </x:c>
      <x:c r="C55" s="170" t="str">
        <x:v>Performance and time efficiency improved while direct volume fell from 20 to 19</x:v>
      </x:c>
      <x:c r="D55" s="170" t="str">
        <x:v>Keep loads; improve reserve; next session exactly 18 sets</x:v>
      </x:c>
    </x:row>
    <x:row r="56" ht="52" customHeight="1">
      <x:c r="A56" s="170" t="str">
        <x:v>Live volume adjustment</x:v>
      </x:c>
      <x:c r="B56" s="170" t="str">
        <x:v>A fourth rope set was followed by instructions to reduce overhead-dumbbell and dip work, but all three sets of each were completed</x:v>
      </x:c>
      <x:c r="C56" s="170" t="str">
        <x:v>All completed sets count toward fatigue and remain preserved; session finished one set above cap</x:v>
      </x:c>
      <x:c r="D56" s="170" t="str">
        <x:v>Follow live reductions; no fourth sets or replacement extras</x:v>
      </x:c>
    </x:row>
    <x:row r="57" ht="52" customHeight="1">
      <x:c r="A57" s="170" t="str">
        <x:v>Post-Triceps cardio decision</x:v>
      </x:c>
      <x:c r="B57" s="170" t="str">
        <x:v>Final energy was Low after 19 working sets; formal cardio and core were omitted</x:v>
      </x:c>
      <x:c r="C57" s="170" t="str">
        <x:v>Additional conditioning was unlikely to add useful benefit in this recovery state</x:v>
      </x:c>
      <x:c r="D57" s="170" t="str">
        <x:v>Resume cardio only when readiness and final energy support it</x:v>
      </x:c>
    </x:row>
    <x:row r="58" ht="52" customHeight="1">
      <x:c r="A58" s="170" t="str">
        <x:v>Temporary four-day training week</x:v>
      </x:c>
      <x:c r="B58" s="170" t="str">
        <x:v>Next week has only four available training days; exact days remain To verify</x:v>
      </x:c>
      <x:c r="C58" s="170" t="str">
        <x:v>Consolidate upper-body work while preserving Legs as a standalone priority session</x:v>
      </x:c>
      <x:c r="D58" s="170" t="str">
        <x:v>Provisional: Back+Biceps, Chest+Triceps, Legs, Shoulders+small arm finishers; confirm day spacing</x:v>
      </x:c>
    </x:row>
    <x:row r="59" ht="52" customHeight="1">
      <x:c r="A59" s="170" t="str">
        <x:v>Upcoming abdominal-fat phase</x:v>
      </x:c>
      <x:c r="B59" s="170" t="str">
        <x:v>From the following week, add structured core, progressive cardio, step tracking and quantified diet management while retaining resistance training</x:v>
      </x:c>
      <x:c r="C59" s="170" t="str">
        <x:v>Abdominal exercises strengthen the core, while waist reduction requires overall energy management and sustainable activity</x:v>
      </x:c>
      <x:c r="D59" s="170" t="str">
        <x:v>Collect exact day schedule, average steps and quantified meal portions before final calorie target</x:v>
      </x:c>
    </x:row>
    <x:row r="60" ht="52" customHeight="1">
      <x:c r="A60" s="170" t="str">
        <x:v>2026-08-23 body check-in</x:v>
      </x:c>
      <x:c r="B60" s="170" t="str">
        <x:v>87.7 kg and 38 in navel waist; repeated scale readings 87.6-87.7 before food/drink; bowel movement occurred around midnight rather than morning</x:v>
      </x:c>
      <x:c r="C60" s="170" t="str">
        <x:v>Current reading is reliable, but overnight change is not equivalent fat loss; protocol difference retained</x:v>
      </x:c>
      <x:c r="D60" s="170" t="str">
        <x:v>Use daily readings and seven-day average; do not change calories from one result</x:v>
      </x:c>
    </x:row>
    <x:row r="61" ht="52" customHeight="1">
      <x:c r="A61" s="170" t="str">
        <x:v>Egg introduction</x:v>
      </x:c>
      <x:c r="B61" s="170" t="str">
        <x:v>Vipin started eating eggs; exact amount, preparation and adherence To verify</x:v>
      </x:c>
      <x:c r="C61" s="170" t="str">
        <x:v>Recommended 2 whole eggs + 2 whites replacing the tofu sandwich, not added to every meal</x:v>
      </x:c>
      <x:c r="D61" s="170" t="str">
        <x:v>Keep quantified protein minimum unchanged until actual intake is confirmed</x:v>
      </x:c>
    </x:row>
    <x:row r="62" ht="52" customHeight="1">
      <x:c r="A62" s="170" t="str">
        <x:v>Back + Biceps performance</x:v>
      </x:c>
      <x:c r="B62" s="170" t="str">
        <x:v>2026-08-24 completed 20 entries in 75 min; no pain, assistance or breakdown; most loads progressed or improved reserve</x:v>
      </x:c>
      <x:c r="C62" s="170" t="str">
        <x:v>Two RIR-3 preparation sets plus 18 working sets created about 20 meaningful sets</x:v>
      </x:c>
      <x:c r="D62" s="170" t="str">
        <x:v>Keep loads; improve reserve; combined-session ceiling is 18 meaningful sets</x:v>
      </x:c>
    </x:row>
    <x:row r="63" ht="52" customHeight="1">
      <x:c r="A63" s="170" t="str">
        <x:v>Combined-session volume adherence</x:v>
      </x:c>
      <x:c r="B63" s="170" t="str">
        <x:v>Extra 55 kg straight-arm set and unreduced incline/hammer sets were completed after live set reductions</x:v>
      </x:c>
      <x:c r="C63" s="170" t="str">
        <x:v>All work remains recorded, but unplanned sets do not justify progression and final energy fell to Low</x:v>
      </x:c>
      <x:c r="D63" s="170" t="str">
        <x:v>A live reduction replaces the earlier plan; stop when the revised set count is reached</x:v>
      </x:c>
    </x:row>
    <x:row r="64" ht="52" customHeight="1">
      <x:c r="A64" s="170" t="str">
        <x:v>Morning coffee plus EAA+</x:v>
      </x:c>
      <x:c r="B64" s="170" t="str">
        <x:v>Morning coffee was consumed and a full EAA+ scoop added 100 mg caffeine; coffee amount and time To verify</x:v>
      </x:c>
      <x:c r="C64" s="170" t="str">
        <x:v>Total daily caffeine cannot yet be quantified; timing may still affect sleep</x:v>
      </x:c>
      <x:c r="D64" s="170" t="str">
        <x:v>Record coffee amount/time and next-morning sleep quality</x:v>
      </x:c>
    </x:row>
    <x:row r="65" ht="52" customHeight="1">
      <x:c r="A65" s="170" t="str">
        <x:v>Chest + Triceps performance</x:v>
      </x:c>
      <x:c r="B65" s="170" t="str">
        <x:v>2026-08-25 completed 20 entries in 75 min; incline and established loads progressed; no pain, assistance or breakdown</x:v>
      </x:c>
      <x:c r="C65" s="170" t="str">
        <x:v>One RIR-0 flat-bench set and Low final energy limit progression credit</x:v>
      </x:c>
      <x:c r="D65" s="170" t="str">
        <x:v>Keep loads; next combined session exactly 18 meaningful sets and no failure</x:v>
      </x:c>
    </x:row>
    <x:row r="66" ht="52" customHeight="1">
      <x:c r="A66" s="170" t="str">
        <x:v>Repeated live-volume non-adherence</x:v>
      </x:c>
      <x:c r="B66" s="170" t="str">
        <x:v>Plate press, pec deck and overhead rope exceeded revised live limits; session reached 19 meaningful sets</x:v>
      </x:c>
      <x:c r="C66" s="170" t="str">
        <x:v>All completed work remains in history, but unplanned sets and loads do not justify progression</x:v>
      </x:c>
      <x:c r="D66" s="170" t="str">
        <x:v>A live reduction replaces the earlier plan; stop at the revised count</x:v>
      </x:c>
    </x:row>
    <x:row r="67" ht="52" customHeight="1">
      <x:c r="A67" s="170" t="str">
        <x:v>Pec-deck upper-biceps pump</x:v>
      </x:c>
      <x:c r="B67" s="170" t="str">
        <x:v>Strong upper-biceps/upper-arm pump likely triggered by pec deck; explicitly not painful; exact side To verify</x:v>
      </x:c>
      <x:c r="C67" s="170" t="str">
        <x:v>Likely technique/fatigue signal rather than injury based on current report</x:v>
      </x:c>
      <x:c r="D67" s="170" t="str">
        <x:v>Relax grip, drive elbows, omit 60 kg; confirm resolution before next upper session</x:v>
      </x:c>
    </x:row>
    <x:row r="68" ht="52" customHeight="1">
      <x:c r="A68" s="170" t="str">
        <x:v>Failure exposure</x:v>
      </x:c>
      <x:c r="B68" s="170" t="str">
        <x:v>Flat bench 22.5 kg/side x 8 reached RIR 0</x:v>
      </x:c>
      <x:c r="C68" s="170" t="str">
        <x:v>Rep target was reached without assistance but reserve target was missed</x:v>
      </x:c>
      <x:c r="D68" s="170" t="str">
        <x:v>Keep load; require RIR 1-2 and no assisted repetition before progression</x:v>
      </x:c>
    </x:row>
  </x:sheetData>
  <x:mergeCells>
    <x:mergeCell ref="A1:H2"/>
  </x:mergeCells>
  <x:pageMargins left="0.7" right="0.7" top="0.75" bottom="0.75" header="0.3" footer="0.3"/>
  <x:tableParts count="1">
    <x:tablePart xmlns:r="http://schemas.openxmlformats.org/officeDocument/2006/relationships" r:id="Rf44478e3a9de4d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2" hidden="0" customWidth="1"/>
    <x:col min="4" max="4" width="12" hidden="0" customWidth="1"/>
    <x:col min="5" max="5" width="18" hidden="0" customWidth="1"/>
    <x:col min="6" max="6" width="38" hidden="0" customWidth="1"/>
    <x:col min="7" max="7" width="38" hidden="0" customWidth="1"/>
    <x:col min="8" max="8" width="38" hidden="0" customWidth="1"/>
  </x:cols>
  <x:sheetData>
    <x:row r="1" ht="28" customHeight="1">
      <x:c r="A1" s="167" t="str">
        <x:v>Session Summary &amp; Coaching Decisions</x:v>
      </x:c>
      <x:c r="B1" s="167" t="str">
        <x:v>Session Summary &amp; Coaching Decisions</x:v>
      </x:c>
      <x:c r="C1" s="167" t="str">
        <x:v>Session Summary &amp; Coaching Decisions</x:v>
      </x:c>
      <x:c r="D1" s="167" t="str">
        <x:v>Session Summary &amp; Coaching Decisions</x:v>
      </x:c>
      <x:c r="E1" s="167" t="str">
        <x:v>Session Summary &amp; Coaching Decisions</x:v>
      </x:c>
      <x:c r="F1" s="167" t="str">
        <x:v>Session Summary &amp; Coaching Decisions</x:v>
      </x:c>
      <x:c r="G1" s="167" t="str">
        <x:v>Session Summary &amp; Coaching Decisions</x:v>
      </x:c>
      <x:c r="H1" s="167" t="str">
        <x:v>Session Summary &amp; Coaching Decisions</x:v>
      </x:c>
    </x:row>
    <x:row r="2" ht="28" customHeight="1">
      <x:c r="A2" s="166" t="str">
        <x:v>Session Summary &amp; Coaching Decisions</x:v>
      </x:c>
      <x:c r="B2" s="166" t="str">
        <x:v>Session Summary &amp; Coaching Decisions</x:v>
      </x:c>
      <x:c r="C2" s="166" t="str">
        <x:v>Session Summary &amp; Coaching Decisions</x:v>
      </x:c>
      <x:c r="D2" s="166" t="str">
        <x:v>Session Summary &amp; Coaching Decisions</x:v>
      </x:c>
      <x:c r="E2" s="166" t="str">
        <x:v>Session Summary &amp; Coaching Decisions</x:v>
      </x:c>
      <x:c r="F2" s="166" t="str">
        <x:v>Session Summary &amp; Coaching Decisions</x:v>
      </x:c>
      <x:c r="G2" s="166" t="str">
        <x:v>Session Summary &amp; Coaching Decisions</x:v>
      </x:c>
      <x:c r="H2" s="166" t="str">
        <x:v>Session Summary &amp; Coaching Decisions</x:v>
      </x:c>
    </x:row>
    <x:row r="3" ht="15" hidden="0" customHeight="1">
      <x:c r="A3" s="100" t="str">
        <x:v>One row per completed workout. Dashboard counts are calculated from this sheet.</x:v>
      </x:c>
      <x:c r="B3" s="100" t="str">
        <x:v>One row per completed workout. Dashboard counts are calculated from this sheet.</x:v>
      </x:c>
      <x:c r="C3" s="100" t="str">
        <x:v>One row per completed workout. Dashboard counts are calculated from this sheet.</x:v>
      </x:c>
      <x:c r="D3" s="100" t="str">
        <x:v>One row per completed workout. Dashboard counts are calculated from this sheet.</x:v>
      </x:c>
      <x:c r="E3" s="100" t="str">
        <x:v>One row per completed workout. Dashboard counts are calculated from this sheet.</x:v>
      </x:c>
      <x:c r="F3" s="100" t="str">
        <x:v>One row per completed workout. Dashboard counts are calculated from this sheet.</x:v>
      </x:c>
      <x:c r="G3" s="100" t="str">
        <x:v>One row per completed workout. Dashboard counts are calculated from this sheet.</x:v>
      </x:c>
      <x:c r="H3" s="100" t="str">
        <x:v>One row per completed workout. Dashboard counts are calculated from this sheet.</x:v>
      </x:c>
    </x:row>
    <x:row r="4" ht="15" hidden="0" customHeight="1">
      <x:c r="A4" s="170" t="str">
        <x:v>Date</x:v>
      </x:c>
      <x:c r="B4" s="170" t="str">
        <x:v>Workout</x:v>
      </x:c>
      <x:c r="C4" s="170" t="str">
        <x:v>Exercises</x:v>
      </x:c>
      <x:c r="D4" s="170" t="str">
        <x:v>Set Entries</x:v>
      </x:c>
      <x:c r="E4" s="170" t="str">
        <x:v>Readiness</x:v>
      </x:c>
      <x:c r="F4" s="170" t="str">
        <x:v>Recovery Notes</x:v>
      </x:c>
      <x:c r="G4" s="170" t="str">
        <x:v>Coach Assessment</x:v>
      </x:c>
      <x:c r="H4" s="170" t="str">
        <x:v>Next-Session Status</x:v>
      </x:c>
    </x:row>
    <x:row r="5" ht="26.399999618530273" hidden="0" customHeight="1">
      <x:c r="A5" s="220" t="n">
        <x:v>46237</x:v>
      </x:c>
      <x:c r="B5" s="170" t="str">
        <x:v>Back</x:v>
      </x:c>
      <x:c r="C5" s="170" t="n">
        <x:v>6</x:v>
      </x:c>
      <x:c r="D5" s="170" t="n">
        <x:v>23</x:v>
      </x:c>
      <x:c r="E5" s="170" t="str">
        <x:v>Not recorded</x:v>
      </x:c>
      <x:c r="F5" s="170" t="str">
        <x:v>Lower-back pump possible; no sharp pain</x:v>
      </x:c>
      <x:c r="G5" s="170" t="str">
        <x:v>Good baseline; replace redundant rows if low back fatigues</x:v>
      </x:c>
      <x:c r="H5" s="170" t="str">
        <x:v>Targets set</x:v>
      </x:c>
    </x:row>
    <x:row r="6" ht="26.399999618530273" hidden="0" customHeight="1">
      <x:c r="A6" s="220" t="n">
        <x:v>46238</x:v>
      </x:c>
      <x:c r="B6" s="170" t="str">
        <x:v>Chest</x:v>
      </x:c>
      <x:c r="C6" s="170" t="n">
        <x:v>6</x:v>
      </x:c>
      <x:c r="D6" s="170" t="n">
        <x:v>18</x:v>
      </x:c>
      <x:c r="E6" s="170" t="str">
        <x:v>Yellow after session</x:v>
      </x:c>
      <x:c r="F6" s="170" t="str">
        <x:v>Medium energy; good sleep; mild side-deltoid soreness later</x:v>
      </x:c>
      <x:c r="G6" s="170" t="str">
        <x:v>Too press-heavy; cap future sessions at 3 presses</x:v>
      </x:c>
      <x:c r="H6" s="170" t="str">
        <x:v>Modify volume</x:v>
      </x:c>
    </x:row>
    <x:row r="7" ht="26.399999618530273" hidden="0" customHeight="1">
      <x:c r="A7" s="220" t="n">
        <x:v>46239</x:v>
      </x:c>
      <x:c r="B7" s="170" t="str">
        <x:v>Biceps</x:v>
      </x:c>
      <x:c r="C7" s="170" t="n">
        <x:v>6</x:v>
      </x:c>
      <x:c r="D7" s="170" t="n">
        <x:v>20</x:v>
      </x:c>
      <x:c r="E7" s="170" t="str">
        <x:v>Yellow</x:v>
      </x:c>
      <x:c r="F7" s="170" t="str">
        <x:v>Side-deltoid soreness 3/10; muscular, not joint-based</x:v>
      </x:c>
      <x:c r="G7" s="170" t="str">
        <x:v>Biceps completed; shoulder loading avoided</x:v>
      </x:c>
      <x:c r="H7" s="170" t="str">
        <x:v>Targets set; verify 10.25 kg</x:v>
      </x:c>
    </x:row>
    <x:row r="8" ht="26.399999618530273" hidden="0" customHeight="1">
      <x:c r="A8" s="220" t="n">
        <x:v>46240</x:v>
      </x:c>
      <x:c r="B8" s="170" t="str">
        <x:v>Legs</x:v>
      </x:c>
      <x:c r="C8" s="170" t="n">
        <x:v>7</x:v>
      </x:c>
      <x:c r="D8" s="170" t="n">
        <x:v>24</x:v>
      </x:c>
      <x:c r="E8" s="170" t="str">
        <x:v>Green/Yellow</x:v>
      </x:c>
      <x:c r="F8" s="170" t="str">
        <x:v>Medium energy; okay sleep; shoulder better</x:v>
      </x:c>
      <x:c r="G8" s="170" t="str">
        <x:v>Good baseline; leg press assisted; 40 kg curl too heavy</x:v>
      </x:c>
      <x:c r="H8" s="170" t="str">
        <x:v>Targets set</x:v>
      </x:c>
    </x:row>
    <x:row r="9" ht="92.4000015258789" hidden="0" customHeight="1">
      <x:c r="A9" s="220" t="n">
        <x:v>46241</x:v>
      </x:c>
      <x:c r="B9" s="170" t="str">
        <x:v>Shoulders</x:v>
      </x:c>
      <x:c r="C9" s="170" t="n">
        <x:v>6</x:v>
      </x:c>
      <x:c r="D9" s="170" t="n">
        <x:v>20</x:v>
      </x:c>
      <x:c r="E9" s="170" t="str">
        <x:v>Green/Yellow</x:v>
      </x:c>
      <x:c r="F9" s="170" t="str">
        <x:v>Sleep okay; medium pre-energy, Low-Medium post; no shoulder or lower-back pain; 75 min; no assisted reps; equally energetic without coffee; sleep response pending; Follow-up 2026-08-08: bedtime deliberately delayed to ~02:30; woke ~10:30 after ~8 h; sleep very good and relaxing; morning energy high with no sleepiness</x:v>
      </x:c>
      <x:c r="G9" s="170" t="str">
        <x:v>Pain-free baseline, but 19 working entries included five RIR 0 sets and several RIR 1 sets; effort density was excessive</x:v>
      </x:c>
      <x:c r="H9" s="170" t="str">
        <x:v>Keep all 6 exercises; reduce next Shoulder session to about 15 working sets, mostly RIR 2</x:v>
      </x:c>
    </x:row>
    <x:row r="10" ht="39.599998474121094" hidden="0" customHeight="1">
      <x:c r="A10" s="220" t="n">
        <x:v>46242</x:v>
      </x:c>
      <x:c r="B10" s="170" t="str">
        <x:v>Triceps</x:v>
      </x:c>
      <x:c r="C10" s="170" t="n">
        <x:v>6</x:v>
      </x:c>
      <x:c r="D10" s="170" t="n">
        <x:v>21</x:v>
      </x:c>
      <x:c r="E10" s="170" t="str">
        <x:v>Green</x:v>
      </x:c>
      <x:c r="F10" s="170" t="str">
        <x:v>Excellent prior sleep; medium pre/post energy; no shoulder, elbow, lower-back or other pain; 90 min; no forced reps; EAA+ amount To verify; no coffee</x:v>
      </x:c>
      <x:c r="G10" s="170" t="str">
        <x:v>Pain-free baseline, but 20 working sets included 14 known RIR 1 sets plus a drop set; repeated fourth sets made effort density excessive</x:v>
      </x:c>
      <x:c r="H10" s="170" t="str">
        <x:v>Keep 6 exercises if preferred, but exactly 3 working sets each (18 maximum), mostly RIR 2-3, with no drop sets or fourth sets</x:v>
      </x:c>
    </x:row>
    <x:row r="11">
      <x:c r="A11" s="220" t="n">
        <x:v>46244</x:v>
      </x:c>
      <x:c r="B11" s="170" t="str">
        <x:v>Back</x:v>
      </x:c>
      <x:c r="C11" s="170" t="n">
        <x:v>6</x:v>
      </x:c>
      <x:c r="D11" s="170" t="n">
        <x:v>19</x:v>
      </x:c>
      <x:c r="E11" s="170" t="str">
        <x:v>Green</x:v>
      </x:c>
      <x:c r="F11" s="170" t="str">
        <x:v>Good sleep; Low-Medium final energy; no pain; slight triceps sensation; 90 min; full EAA; extra coffee To verify</x:v>
      </x:c>
      <x:c r="G11" s="170" t="str">
        <x:v>Productive progression, but both warm-ups were working-level and effort density remained high</x:v>
      </x:c>
      <x:c r="H11" s="170" t="str">
        <x:v>Repeat loads with more reserve; cap direct work near 15-18 entries</x:v>
      </x:c>
    </x:row>
    <x:row r="12">
      <x:c r="A12" s="220" t="n">
        <x:v>46245</x:v>
      </x:c>
      <x:c r="B12" s="170" t="str">
        <x:v>Chest</x:v>
      </x:c>
      <x:c r="C12" s="170" t="n">
        <x:v>6</x:v>
      </x:c>
      <x:c r="D12" s="170" t="n">
        <x:v>18</x:v>
      </x:c>
      <x:c r="E12" s="170" t="str">
        <x:v>Green/Yellow</x:v>
      </x:c>
      <x:c r="F12" s="170" t="str">
        <x:v>Good sleep; Low final energy; no pain; no confirmed assistance; final incline rep nearly assisted; duration To verify; full EAA</x:v>
      </x:c>
      <x:c r="G12" s="170" t="str">
        <x:v>Several rep improvements, but 12 of 18 sets reached RIR 1</x:v>
      </x:c>
      <x:c r="H12" s="170" t="str">
        <x:v>Use 3 presses maximum; preserve 1-2 RIR on most sets</x:v>
      </x:c>
    </x:row>
    <x:row r="13">
      <x:c r="A13" s="220" t="n">
        <x:v>46246</x:v>
      </x:c>
      <x:c r="B13" s="170" t="str">
        <x:v>Biceps</x:v>
      </x:c>
      <x:c r="C13" s="170" t="n">
        <x:v>6</x:v>
      </x:c>
      <x:c r="D13" s="170" t="n">
        <x:v>20</x:v>
      </x:c>
      <x:c r="E13" s="170" t="str">
        <x:v>Green/Yellow</x:v>
      </x:c>
      <x:c r="F13" s="170" t="str">
        <x:v>Good sleep; Low final energy; no pain; 90 min; no assistance or body swing; full EAA; no coffee</x:v>
      </x:c>
      <x:c r="G13" s="170" t="str">
        <x:v>Progressed, but 16 RIR-1 sets plus one RIR-0 set created excessive effort density</x:v>
      </x:c>
      <x:c r="H13" s="170" t="str">
        <x:v>Exactly 18 sets maximum; no failure-oriented concentration curls</x:v>
      </x:c>
    </x:row>
    <x:row r="14">
      <x:c r="A14" s="220" t="n">
        <x:v>46247</x:v>
      </x:c>
      <x:c r="B14" s="170" t="str">
        <x:v>Legs</x:v>
      </x:c>
      <x:c r="C14" s="170" t="n">
        <x:v>7</x:v>
      </x:c>
      <x:c r="D14" s="170" t="n">
        <x:v>22</x:v>
      </x:c>
      <x:c r="E14" s="170" t="str">
        <x:v>Green/Yellow</x:v>
      </x:c>
      <x:c r="F14" s="170" t="str">
        <x:v>Good sleep; Low final energy; no pain; easier stairs; 90 min; four hand-assisted leg-press reps; full EAA</x:v>
      </x:c>
      <x:c r="G14" s="170" t="str">
        <x:v>Clear progression, but leg-press top set was only 4 clean reps and leg-curl form remains To verify</x:v>
      </x:c>
      <x:c r="H14" s="170" t="str">
        <x:v>Introduce controlled hip hinge later; manage fatigue and verify leg-curl range</x:v>
      </x:c>
    </x:row>
    <x:row r="15">
      <x:c r="A15" s="220" t="n">
        <x:v>46248</x:v>
      </x:c>
      <x:c r="B15" s="170" t="str">
        <x:v>Shoulders</x:v>
      </x:c>
      <x:c r="C15" s="170" t="n">
        <x:v>6</x:v>
      </x:c>
      <x:c r="D15" s="170" t="n">
        <x:v>19</x:v>
      </x:c>
      <x:c r="E15" s="170" t="str">
        <x:v>Green</x:v>
      </x:c>
      <x:c r="F15" s="170" t="str">
        <x:v>Good sleep; Medium final energy; no pain; 90 min; no assistance; full EAA</x:v>
      </x:c>
      <x:c r="G15" s="170" t="str">
        <x:v>Better RIR distribution and pain-free work; lateral-machine set count remains To verify</x:v>
      </x:c>
      <x:c r="H15" s="170" t="str">
        <x:v>Keep six exercises but remove extra sets; progress reserve before load</x:v>
      </x:c>
    </x:row>
    <x:row r="16">
      <x:c r="A16" s="220" t="n">
        <x:v>46249</x:v>
      </x:c>
      <x:c r="B16" s="170" t="str">
        <x:v>Triceps</x:v>
      </x:c>
      <x:c r="C16" s="170" t="n">
        <x:v>8</x:v>
      </x:c>
      <x:c r="D16" s="170" t="n">
        <x:v>23</x:v>
      </x:c>
      <x:c r="E16" s="170" t="str">
        <x:v>Green</x:v>
      </x:c>
      <x:c r="F16" s="170" t="str">
        <x:v>Very good sleep; Medium final energy; no pain; 90 min; no forced reps; full EAA; coffee To verify; includes walk and planks</x:v>
      </x:c>
      <x:c r="G16" s="170" t="str">
        <x:v>Strong progression and controlled dips; 20 direct sets still exceeded cap</x:v>
      </x:c>
      <x:c r="H16" s="170" t="str">
        <x:v>Exactly 18 direct sets; retain optional easy 10-minute cardio and 2 plank sets if recovery is good</x:v>
      </x:c>
    </x:row>
    <x:row r="17">
      <x:c r="A17" s="220" t="n">
        <x:v>46251</x:v>
      </x:c>
      <x:c r="B17" s="170" t="str">
        <x:v>Back</x:v>
      </x:c>
      <x:c r="C17" s="170" t="n">
        <x:v>6</x:v>
      </x:c>
      <x:c r="D17" s="170" t="n">
        <x:v>20</x:v>
      </x:c>
      <x:c r="E17" s="170" t="str">
        <x:v>Green/Yellow</x:v>
      </x:c>
      <x:c r="F17" s="170" t="str">
        <x:v>Good sleep; Low final energy; 75 min; lower-back pump without pain; no shoulder/elbow pain; no assistance</x:v>
      </x:c>
      <x:c r="G17" s="170" t="str">
        <x:v>High-row progression was useful; +20 kg hyperextension at RIR 0 was unnecessary and caused substantial fatigue</x:v>
      </x:c>
      <x:c r="H17" s="170" t="str">
        <x:v>Exactly 15 direct sets; no +20 kg hyperextension; use body weight and +10 kg with reserve</x:v>
      </x:c>
    </x:row>
    <x:row r="18">
      <x:c r="A18" s="220" t="n">
        <x:v>46252</x:v>
      </x:c>
      <x:c r="B18" s="170" t="str">
        <x:v>Chest</x:v>
      </x:c>
      <x:c r="C18" s="170" t="n">
        <x:v>6</x:v>
      </x:c>
      <x:c r="D18" s="170" t="n">
        <x:v>18</x:v>
      </x:c>
      <x:c r="E18" s="170" t="str">
        <x:v>Green</x:v>
      </x:c>
      <x:c r="F18" s="170" t="str">
        <x:v>Good sleep; Medium start and Medium-Low final energy; no pain; little lower-biceps pump after final cable fly; medium chest pump; 90 min; no assistance; full EAA+; no coffee; three strict 60-sec planks</x:v>
      </x:c>
      <x:c r="G18" s="170" t="str">
        <x:v>Exactly 15 direct chest sets plus 3 core sets. Incline press, plate press, pec deck and cable fly progressed; flat-bench top set remained unchanged and several early sets were harder than planned.</x:v>
      </x:c>
      <x:c r="H18" s="170" t="str">
        <x:v>Retain 15 direct sets; improve reserve before load; remove 15 kg cable-fly working set; keep 3 x 60-sec strict planks</x:v>
      </x:c>
    </x:row>
    <x:row r="19">
      <x:c r="A19" s="220" t="n">
        <x:v>46253</x:v>
      </x:c>
      <x:c r="B19" s="170" t="str">
        <x:v>Biceps</x:v>
      </x:c>
      <x:c r="C19" s="170" t="n">
        <x:v>6</x:v>
      </x:c>
      <x:c r="D19" s="170" t="n">
        <x:v>18</x:v>
      </x:c>
      <x:c r="E19" s="170" t="str">
        <x:v>Green/Yellow</x:v>
      </x:c>
      <x:c r="F19" s="170" t="str">
        <x:v>Good sleep; Medium-High start and Low final energy; usual overall biceps sensation; no joint pain; medium-high pump; 90 min; no assistance or body swing; full EAA+; no coffee</x:v>
      </x:c>
      <x:c r="G19" s="170" t="str">
        <x:v>Clear improvement over 2026-08-12: volume reduced from 20 to 18, no RIR 0 sets, only three RIR 1 sets, and multiple rep/reserve progressions. Incline dumbbell curl replaced cable curl and established a clean baseline.</x:v>
      </x:c>
      <x:c r="H19" s="170" t="str">
        <x:v>Retain exactly 18 sets and 3 per exercise; keep loads; improve reserve before progression; active sequence uses incline dumbbell curl instead of cable curl</x:v>
      </x:c>
    </x:row>
    <x:row r="20">
      <x:c r="A20" s="220" t="n">
        <x:v>46254</x:v>
      </x:c>
      <x:c r="B20" s="170" t="str">
        <x:v>Legs</x:v>
      </x:c>
      <x:c r="C20" s="170" t="n">
        <x:v>6</x:v>
      </x:c>
      <x:c r="D20" s="170" t="n">
        <x:v>18</x:v>
      </x:c>
      <x:c r="E20" s="170" t="str">
        <x:v>Yellow</x:v>
      </x:c>
      <x:c r="F20" s="170" t="str">
        <x:v>Good sleep; Medium start and Low final energy; 100 min; normal lower-back pump without pain; little hip pain with details To verify; no knee pain reported; stairs/walking better than last Legs session; full EAA+; no coffee; only the 150 kg leg-press set included assistance</x:v>
      </x:c>
      <x:c r="G20" s="170" t="str">
        <x:v>Hack squat, leg extension and calf work progressed, and post-session walking/stairs improved. However, the RDL remained lower-back dominant, leg curl reached RIR 0, the top leg-press set again needed assistance, final energy was low, and hip pain requires verification.</x:v>
      </x:c>
      <x:c r="H20" s="170" t="str">
        <x:v>Keep the 18-set cap; no assisted reps or failure; reset RDL technique at 10 kg each; omit 150 kg leg press; verify hip pain before Shoulders</x:v>
      </x:c>
    </x:row>
    <x:row r="21">
      <x:c r="A21" s="220" t="n">
        <x:v>46255</x:v>
      </x:c>
      <x:c r="B21" s="170" t="str">
        <x:v>Shoulders</x:v>
      </x:c>
      <x:c r="C21" s="170" t="n">
        <x:v>9</x:v>
      </x:c>
      <x:c r="D21" s="170" t="n">
        <x:v>25</x:v>
      </x:c>
      <x:c r="E21" s="170" t="str">
        <x:v>Green/Yellow</x:v>
      </x:c>
      <x:c r="F21" s="170" t="str">
        <x:v>Good sleep; Medium-High start and Medium final energy; no shoulder, neck, elbow, wrist, hip or lower-back pain; 100 min; no assistance; low-medium shoulder pump; full EAA+; no coffee; delayed soreness To verify</x:v>
      </x:c>
      <x:c r="G21" s="170" t="str">
        <x:v>Pressing reserve, reverse-pec-deck reserve and lateral-raise performance progressed without pain. However, 20 shoulder working sets exceeded the 18-set cap, the cable shrug produced poor trap stimulus, and the 12% incline finisher added unnecessary fatigue after Legs.</x:v>
      </x:c>
      <x:c r="H21" s="170" t="str">
        <x:v>Return to exactly 18 shoulder working sets; no experimental extras; keep loads and improve reserve; replace cable shrug with dumbbell/dedicated shrug; check delayed soreness before Triceps</x:v>
      </x:c>
    </x:row>
    <x:row r="22">
      <x:c r="A22" s="220" t="n">
        <x:v>46256</x:v>
      </x:c>
      <x:c r="B22" s="170" t="str">
        <x:v>Triceps</x:v>
      </x:c>
      <x:c r="C22" s="170" t="n">
        <x:v>6</x:v>
      </x:c>
      <x:c r="D22" s="170" t="n">
        <x:v>20</x:v>
      </x:c>
      <x:c r="E22" s="170" t="str">
        <x:v>Green/Yellow</x:v>
      </x:c>
      <x:c r="F22" s="170" t="str">
        <x:v>Good sleep; Medium start and Low final energy; very little shoulder soreness unchanged; no shoulder, elbow or wrist pain; 75 min; no forced reps or technique breakdown; medium pump; full EAA+; no coffee; no formal cardio/core</x:v>
      </x:c>
      <x:c r="G22" s="170" t="str">
        <x:v>Multiple rep/reserve progressions were pain-free and duration improved to 75 min. Direct work decreased from 20 to 19 sets, but the 18-set ceiling was still exceeded after live set reductions were not followed; Low final energy supported omitting cardio.</x:v>
      </x:c>
      <x:c r="H22" s="170" t="str">
        <x:v>Exactly 18 direct sets next time: three per exercise, no fourth rope set and no extra sets after live adjustment; keep loads and improve reserve; temporary four-day week pending exact days</x:v>
      </x:c>
    </x:row>
    <x:row r="23">
      <x:c r="A23" s="220" t="n">
        <x:v>46258</x:v>
      </x:c>
      <x:c r="B23" s="170" t="str">
        <x:v>Back + Biceps</x:v>
      </x:c>
      <x:c r="C23" s="170" t="n">
        <x:v>6</x:v>
      </x:c>
      <x:c r="D23" s="170" t="n">
        <x:v>20</x:v>
      </x:c>
      <x:c r="E23" s="170" t="str">
        <x:v>Green/Yellow</x:v>
      </x:c>
      <x:c r="F23" s="170" t="str">
        <x:v>Good sleep; Medium-High start and Low final energy; no back, biceps, elbow, shoulder or lower-back pain; no unusual sensation; 75 min; no assistance or technique breakdown; full EAA+; morning coffee amount/time To verify; no cardio/core</x:v>
      </x:c>
      <x:c r="G23" s="170" t="str">
        <x:v>Back performance improved without pain, but 20 meaningful sets were accumulated after three live volume reductions were not followed. Two sets were classified as preparation, yet both ended at RIR 3 and contributed material fatigue. Low final energy confirmed that the extra volume was unnecessary.</x:v>
      </x:c>
      <x:c r="H23" s="170" t="str">
        <x:v>Next immediate session Chest + Triceps, fresh readiness required; combined sessions capped at 18 meaningful sets; follow live reductions; keep loads and improve reserve</x:v>
      </x:c>
    </x:row>
    <x:row r="24">
      <x:c r="A24" s="220" t="n">
        <x:v>46259</x:v>
      </x:c>
      <x:c r="B24" s="170" t="str">
        <x:v>Chest + Triceps</x:v>
      </x:c>
      <x:c r="C24" s="170" t="n">
        <x:v>6</x:v>
      </x:c>
      <x:c r="D24" s="170" t="n">
        <x:v>20</x:v>
      </x:c>
      <x:c r="E24" s="170" t="str">
        <x:v>Green/Yellow</x:v>
      </x:c>
      <x:c r="F24" s="170" t="str">
        <x:v>Good sleep; Medium start and Low final energy; no chest, shoulder, elbow or wrist pain; strong non-painful upper-biceps/arm pump likely from pec deck, exact side To verify; 75 min; medium chest/triceps pump; no assistance or breakdown; full EAA+; no coffee; no cardio/core</x:v>
      </x:c>
      <x:c r="G24" s="170" t="str">
        <x:v>Performance improved across incline pressing and several established loads without pain or assistance, but 19 meaningful sets exceeded the 18-set cap. Flat bench reached RIR 0 and three live volume reductions were not followed. Low final energy confirmed the extra work was unnecessary.</x:v>
      </x:c>
      <x:c r="H24" s="170" t="str">
        <x:v>Legs next after fresh readiness and biceps-pump resolution; next combined Chest + Triceps exactly 18 meaningful sets; no RIR 0; follow live reductions; omit unplanned 50 kg plate press, 60 kg pec deck and 45 kg overhead rope</x:v>
      </x:c>
    </x:row>
    <x:row r="25">
      <x:c r="A25" s="220"/>
      <x:c r="B25" s="170"/>
      <x:c r="C25" s="170"/>
      <x:c r="D25" s="170"/>
      <x:c r="E25" s="170"/>
      <x:c r="F25" s="170"/>
      <x:c r="G25" s="170"/>
      <x:c r="H25" s="170"/>
    </x:row>
  </x:sheetData>
  <x:mergeCells>
    <x:mergeCell ref="A1:H2"/>
    <x:mergeCell ref="A3:H3"/>
  </x:mergeCells>
  <x:dataValidations count="1">
    <x:dataValidation type="list" sqref="E5:E8">
      <x:formula1>"Green,Green/Yellow,Yellow,Red,Not recorded,Yellow after session"</x:formula1>
    </x:dataValidation>
  </x:dataValidations>
  <x:pageMargins left="0.7" right="0.7" top="0.75" bottom="0.75" header="0.3" footer="0.3"/>
  <x:tableParts count="1">
    <x:tablePart xmlns:r="http://schemas.openxmlformats.org/officeDocument/2006/relationships" r:id="R763c8925571846f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66" hidden="0" customWidth="1"/>
    <x:col min="4" max="4" width="14" hidden="0" customWidth="1"/>
    <x:col min="5" max="5" width="48" hidden="0" customWidth="1"/>
  </x:cols>
  <x:sheetData>
    <x:row r="1" ht="28" customHeight="1">
      <x:c r="A1" s="177" t="str">
        <x:v>Coaching Profile &amp; Information Needed</x:v>
      </x:c>
      <x:c r="B1" s="177" t="str">
        <x:v>Coaching Profile &amp; Information Needed</x:v>
      </x:c>
      <x:c r="C1" s="177" t="str">
        <x:v>Coaching Profile &amp; Information Needed</x:v>
      </x:c>
      <x:c r="D1" s="177" t="str">
        <x:v>Coaching Profile &amp; Information Needed</x:v>
      </x:c>
      <x:c r="E1" s="177" t="str">
        <x:v>Coaching Profile &amp; Information Needed</x:v>
      </x:c>
    </x:row>
    <x:row r="2" ht="28" customHeight="1">
      <x:c r="A2" s="173" t="str">
        <x:v>Coaching Profile &amp; Information Needed</x:v>
      </x:c>
      <x:c r="B2" s="173" t="str">
        <x:v>Coaching Profile &amp; Information Needed</x:v>
      </x:c>
      <x:c r="C2" s="173" t="str">
        <x:v>Coaching Profile &amp; Information Needed</x:v>
      </x:c>
      <x:c r="D2" s="173" t="str">
        <x:v>Coaching Profile &amp; Information Needed</x:v>
      </x:c>
      <x:c r="E2" s="173" t="str">
        <x:v>Coaching Profile &amp; Information Needed</x:v>
      </x:c>
    </x:row>
    <x:row r="3" ht="15" hidden="0" customHeight="1">
      <x:c r="A3" s="101" t="str">
        <x:v>Updated 2026-08-07. Unknown or product-specific values remain To verify and are never inferred.</x:v>
      </x:c>
      <x:c r="B3" s="101" t="str">
        <x:v>Updated 2026-08-07. Unknown or product-specific values remain To verify and are never inferred.</x:v>
      </x:c>
      <x:c r="C3" s="101" t="str">
        <x:v>Updated 2026-08-07. Unknown or product-specific values remain To verify and are never inferred.</x:v>
      </x:c>
      <x:c r="D3" s="101" t="str">
        <x:v>Updated 2026-08-07. Unknown or product-specific values remain To verify and are never inferred.</x:v>
      </x:c>
      <x:c r="E3" s="101" t="str">
        <x:v>Updated 2026-08-07. Unknown or product-specific values remain To verify and are never inferred.</x:v>
      </x:c>
    </x:row>
    <x:row r="4" ht="15" hidden="0" customHeight="1">
      <x:c r="A4" s="170" t="str">
        <x:v>Category</x:v>
      </x:c>
      <x:c r="B4" s="170" t="str">
        <x:v>Item</x:v>
      </x:c>
      <x:c r="C4" s="170" t="str">
        <x:v>Current Value</x:v>
      </x:c>
      <x:c r="D4" s="170" t="str">
        <x:v>Status</x:v>
      </x:c>
      <x:c r="E4" s="170" t="str">
        <x:v>Why Needed / Next Check</x:v>
      </x:c>
    </x:row>
    <x:row r="5" ht="15" hidden="0" customHeight="1">
      <x:c r="A5" s="170" t="str">
        <x:v>Basics</x:v>
      </x:c>
      <x:c r="B5" s="170" t="str">
        <x:v>Height</x:v>
      </x:c>
      <x:c r="C5" s="170" t="str">
        <x:v>5'10"</x:v>
      </x:c>
      <x:c r="D5" s="170" t="str">
        <x:v>Known</x:v>
      </x:c>
      <x:c r="E5" s="170" t="str">
        <x:v>Exercise setup and body-composition context</x:v>
      </x:c>
    </x:row>
    <x:row r="6" ht="39.599998474121094" hidden="0" customHeight="1">
      <x:c r="A6" s="170" t="str">
        <x:v>Basics</x:v>
      </x:c>
      <x:c r="B6" s="170" t="str">
        <x:v>Current body weight</x:v>
      </x:c>
      <x:c r="C6" s="170" t="str">
        <x:v>87.7 kg on 2026-08-23; repeated 87.6-87.7 kg before food/drink. No morning bowel movement because bowel movement occurred around midnight. Previous-day 88.7 kg conditions To verify.</x:v>
      </x:c>
      <x:c r="D6" s="170" t="str">
        <x:v>Known with protocol note</x:v>
      </x:c>
      <x:c r="E6" s="170" t="str">
        <x:v>Continue daily readings and compare seven-day averages</x:v>
      </x:c>
    </x:row>
    <x:row r="7" ht="15" hidden="0" customHeight="1">
      <x:c r="A7" s="170" t="str">
        <x:v>Basics</x:v>
      </x:c>
      <x:c r="B7" s="170" t="str">
        <x:v>Date of birth / age</x:v>
      </x:c>
      <x:c r="C7" s="170" t="str">
        <x:v>1992-09-18; age 33 as of 2026-08-07</x:v>
      </x:c>
      <x:c r="D7" s="170" t="str">
        <x:v>Known</x:v>
      </x:c>
      <x:c r="E7" s="170" t="str">
        <x:v>Recovery and nutrition context</x:v>
      </x:c>
    </x:row>
    <x:row r="8" ht="15" hidden="0" customHeight="1">
      <x:c r="A8" s="170" t="str">
        <x:v>Health</x:v>
      </x:c>
      <x:c r="B8" s="170" t="str">
        <x:v>Medical conditions and medications</x:v>
      </x:c>
      <x:c r="C8" s="170" t="str">
        <x:v>None reported on 2026-08-07</x:v>
      </x:c>
      <x:c r="D8" s="170" t="str">
        <x:v>Known</x:v>
      </x:c>
      <x:c r="E8" s="170" t="str">
        <x:v>Reconfirm if anything changes</x:v>
      </x:c>
    </x:row>
    <x:row r="9" ht="15" hidden="0" customHeight="1">
      <x:c r="A9" s="170" t="str">
        <x:v>Health</x:v>
      </x:c>
      <x:c r="B9" s="170" t="str">
        <x:v>Past injuries or surgeries</x:v>
      </x:c>
      <x:c r="C9" s="170" t="str">
        <x:v>None reported on 2026-08-07</x:v>
      </x:c>
      <x:c r="D9" s="170" t="str">
        <x:v>Known</x:v>
      </x:c>
      <x:c r="E9" s="170" t="str">
        <x:v>Reconfirm if anything was omitted</x:v>
      </x:c>
    </x:row>
    <x:row r="10" ht="26.399999618530273" hidden="0" customHeight="1">
      <x:c r="A10" s="170" t="str">
        <x:v>Health</x:v>
      </x:c>
      <x:c r="B10" s="170" t="str">
        <x:v>Current pain or movement restrictions</x:v>
      </x:c>
      <x:c r="C10" s="170" t="str">
        <x:v>After Chest + Triceps on 2026-08-25: no chest, shoulder, elbow or wrist pain. Strong upper-biceps/upper-arm pump likely from pec deck was not painful; exact side To verify.</x:v>
      </x:c>
      <x:c r="D10" s="170" t="str">
        <x:v>Known with verification flag</x:v>
      </x:c>
      <x:c r="E10" s="170" t="str">
        <x:v>Confirm pump resolves; pause direct upper-body loading if pain, bruising or weakness develops</x:v>
      </x:c>
    </x:row>
    <x:row r="11" ht="26.399999618530273" hidden="0" customHeight="1">
      <x:c r="A11" s="170" t="str">
        <x:v>Goal</x:v>
      </x:c>
      <x:c r="B11" s="170" t="str">
        <x:v>Primary goal</x:v>
      </x:c>
      <x:c r="C11" s="170" t="str">
        <x:v>Lean athletic physique; reduce waist/abdominal fat;
retain/build muscle and strength</x:v>
      </x:c>
      <x:c r="D11" s="170" t="str">
        <x:v>Known</x:v>
      </x:c>
      <x:c r="E11" s="170" t="str">
        <x:v>Program direction</x:v>
      </x:c>
    </x:row>
    <x:row r="12" ht="15" hidden="0" customHeight="1">
      <x:c r="A12" s="170" t="str">
        <x:v>Goal</x:v>
      </x:c>
      <x:c r="B12" s="170" t="str">
        <x:v>Target timeframe</x:v>
      </x:c>
      <x:c r="C12" s="170" t="str">
        <x:v>3-4 months; no fixed event</x:v>
      </x:c>
      <x:c r="D12" s="170" t="str">
        <x:v>Known</x:v>
      </x:c>
      <x:c r="E12" s="170" t="str">
        <x:v>Use gradual, performance-preserving progress</x:v>
      </x:c>
    </x:row>
    <x:row r="13" ht="39.599998474121094" hidden="0" customHeight="1">
      <x:c r="A13" s="170" t="str">
        <x:v>Lifestyle</x:v>
      </x:c>
      <x:c r="B13" s="170" t="str">
        <x:v>Sleep schedule</x:v>
      </x:c>
      <x:c r="C13" s="170" t="str">
        <x:v>Usual schedule reported as ~02:00 to 09:30 (~7.5 h) and sleep can be challenging. On the 2026-08-09 rest day with no EAA+, Vipin slept ~23:30 to 08:00 (~8.5 h) and woke fresh on 2026-08-10.</x:v>
      </x:c>
      <x:c r="D13" s="170" t="str">
        <x:v>Partial</x:v>
      </x:c>
      <x:c r="E13" s="170" t="str">
        <x:v>Continue recording bedtime, wake time, awakenings and morning freshness; compare workout and rest days rather than drawing a conclusion from one night</x:v>
      </x:c>
    </x:row>
    <x:row r="14" ht="15" hidden="0" customHeight="1">
      <x:c r="A14" s="170" t="str">
        <x:v>Lifestyle</x:v>
      </x:c>
      <x:c r="B14" s="170" t="str">
        <x:v>Work schedule and activity</x:v>
      </x:c>
      <x:c r="C14" s="170" t="str">
        <x:v>Work from home ~10:30-20:30; mostly sitting; standing desk available</x:v>
      </x:c>
      <x:c r="D14" s="170" t="str">
        <x:v>Known</x:v>
      </x:c>
      <x:c r="E14" s="170" t="str">
        <x:v>Add movement breaks and verify steps</x:v>
      </x:c>
    </x:row>
    <x:row r="15" ht="15" hidden="0" customHeight="1">
      <x:c r="A15" s="170" t="str">
        <x:v>Lifestyle</x:v>
      </x:c>
      <x:c r="B15" s="170" t="str">
        <x:v>Average daily steps</x:v>
      </x:c>
      <x:c r="C15" s="170" t="str">
        <x:v>To verify</x:v>
      </x:c>
      <x:c r="D15" s="170" t="str">
        <x:v>To verify</x:v>
      </x:c>
      <x:c r="E15" s="170" t="str">
        <x:v>Needed for activity and calorie planning</x:v>
      </x:c>
    </x:row>
    <x:row r="16" ht="15" hidden="0" customHeight="1">
      <x:c r="A16" s="170" t="str">
        <x:v>Lifestyle</x:v>
      </x:c>
      <x:c r="B16" s="170" t="str">
        <x:v>Stress level and travel pattern</x:v>
      </x:c>
      <x:c r="C16" s="170" t="str">
        <x:v>To verify</x:v>
      </x:c>
      <x:c r="D16" s="170" t="str">
        <x:v>To verify</x:v>
      </x:c>
      <x:c r="E16" s="170" t="str">
        <x:v>Recovery and adherence planning</x:v>
      </x:c>
    </x:row>
    <x:row r="17" ht="15" hidden="0" customHeight="1">
      <x:c r="A17" s="170" t="str">
        <x:v>Lifestyle</x:v>
      </x:c>
      <x:c r="B17" s="170" t="str">
        <x:v>Typical water intake</x:v>
      </x:c>
      <x:c r="C17" s="170" t="str">
        <x:v>3-4 L/day reported</x:v>
      </x:c>
      <x:c r="D17" s="170" t="str">
        <x:v>Known</x:v>
      </x:c>
      <x:c r="E17" s="170" t="str">
        <x:v>Log actual intake when practical</x:v>
      </x:c>
    </x:row>
    <x:row r="18" ht="15" hidden="0" customHeight="1">
      <x:c r="A18" s="170" t="str">
        <x:v>Training</x:v>
      </x:c>
      <x:c r="B18" s="170" t="str">
        <x:v>Usual gym time</x:v>
      </x:c>
      <x:c r="C18" s="170" t="str">
        <x:v>Around 21:00 because work ends around 20:30</x:v>
      </x:c>
      <x:c r="D18" s="170" t="str">
        <x:v>Known</x:v>
      </x:c>
      <x:c r="E18" s="170" t="str">
        <x:v>Late-session nutrition and stimulant planning</x:v>
      </x:c>
    </x:row>
    <x:row r="19" ht="15" hidden="0" customHeight="1">
      <x:c r="A19" s="170" t="str">
        <x:v>Training</x:v>
      </x:c>
      <x:c r="B19" s="170" t="str">
        <x:v>Available workout duration</x:v>
      </x:c>
      <x:c r="C19" s="170" t="str">
        <x:v>About 1 hour 30 minutes total</x:v>
      </x:c>
      <x:c r="D19" s="170" t="str">
        <x:v>Known</x:v>
      </x:c>
      <x:c r="E19" s="170" t="str">
        <x:v>Controls exercise and set selection</x:v>
      </x:c>
    </x:row>
    <x:row r="20" ht="15" hidden="0" customHeight="1">
      <x:c r="A20" s="170" t="str">
        <x:v>Training</x:v>
      </x:c>
      <x:c r="B20" s="170" t="str">
        <x:v>Gym equipment limitations</x:v>
      </x:c>
      <x:c r="C20" s="170" t="str">
        <x:v>No equipment limitations reported</x:v>
      </x:c>
      <x:c r="D20" s="170" t="str">
        <x:v>Known</x:v>
      </x:c>
      <x:c r="E20" s="170" t="str">
        <x:v>Recommendations can use full commercial-gym options</x:v>
      </x:c>
    </x:row>
    <x:row r="21" ht="26.399999618530273" hidden="0" customHeight="1">
      <x:c r="A21" s="170" t="str">
        <x:v>Training</x:v>
      </x:c>
      <x:c r="B21" s="170" t="str">
        <x:v>Current sequence</x:v>
      </x:c>
      <x:c r="C21" s="170" t="str">
        <x:v>Temporary four-day week: Day 1 Back + Biceps completed 2026-08-24; Day 2 Chest + Triceps completed 2026-08-25; Legs is next; Day 4 Shoulders + core; exact spacing To verify.</x:v>
      </x:c>
      <x:c r="D21" s="170" t="str">
        <x:v>Partial / To verify</x:v>
      </x:c>
      <x:c r="E21" s="170" t="str">
        <x:v>Confirm readiness and day spacing before Legs</x:v>
      </x:c>
    </x:row>
    <x:row r="22" ht="15" hidden="0" customHeight="1">
      <x:c r="A22" s="170" t="str">
        <x:v>Training</x:v>
      </x:c>
      <x:c r="B22" s="170" t="str">
        <x:v>Training history and recent consistency</x:v>
      </x:c>
      <x:c r="C22" s="170" t="str">
        <x:v>Returned to regular training; Phase 2 tracking</x:v>
      </x:c>
      <x:c r="D22" s="170" t="str">
        <x:v>Partial</x:v>
      </x:c>
      <x:c r="E22" s="170" t="str">
        <x:v>Progress conservatively while baseline is completed</x:v>
      </x:c>
    </x:row>
    <x:row r="23" ht="26.399999618530273" hidden="0" customHeight="1">
      <x:c r="A23" s="170" t="str">
        <x:v>Nutrition</x:v>
      </x:c>
      <x:c r="B23" s="170" t="str">
        <x:v>Dietary pattern</x:v>
      </x:c>
      <x:c r="C23" s="170" t="str">
        <x:v>Eggs introduced on 2026-08-24 after prior lacto-vegetarian pattern; exact intake and preparation To verify. Milk, yogurt and whey remain in use; other non-vegetarian foods avoided.</x:v>
      </x:c>
      <x:c r="D23" s="170" t="str">
        <x:v>Partial / To verify</x:v>
      </x:c>
      <x:c r="E23" s="170" t="str">
        <x:v>Confirm whether 2 whole + 2 whites replaces the tofu sandwich and how often</x:v>
      </x:c>
    </x:row>
    <x:row r="24" ht="15" hidden="0" customHeight="1">
      <x:c r="A24" s="170" t="str">
        <x:v>Nutrition</x:v>
      </x:c>
      <x:c r="B24" s="170" t="str">
        <x:v>Allergies or intolerances</x:v>
      </x:c>
      <x:c r="C24" s="170" t="str">
        <x:v>None reported</x:v>
      </x:c>
      <x:c r="D24" s="170" t="str">
        <x:v>Known</x:v>
      </x:c>
      <x:c r="E24" s="170" t="str">
        <x:v>Reconfirm if symptoms emerge</x:v>
      </x:c>
    </x:row>
    <x:row r="25" ht="15" hidden="0" customHeight="1">
      <x:c r="A25" s="170" t="str">
        <x:v>Nutrition</x:v>
      </x:c>
      <x:c r="B25" s="170" t="str">
        <x:v>Foods avoided</x:v>
      </x:c>
      <x:c r="C25" s="170" t="str">
        <x:v>Non-vegetarian foods other than newly introduced eggs; no added sugar; tea stopped; black coffee used selectively</x:v>
      </x:c>
      <x:c r="D25" s="170" t="str">
        <x:v>Partial</x:v>
      </x:c>
      <x:c r="E25" s="170" t="str">
        <x:v>Confirm egg frequency and preparation</x:v>
      </x:c>
    </x:row>
    <x:row r="26" ht="39.599998474121094" hidden="0" customHeight="1">
      <x:c r="A26" s="170" t="str">
        <x:v>Nutrition</x:v>
      </x:c>
      <x:c r="B26" s="170" t="str">
        <x:v>Meal plan and timing</x:v>
      </x:c>
      <x:c r="C26" s="170" t="str">
        <x:v>Current full-day meal pattern recorded in Nutrition Plan. Quantified minimum is 113.60 g/day after reported yogurt updates: lunch 17 g and dinner 15 g.</x:v>
      </x:c>
      <x:c r="D26" s="170" t="str">
        <x:v>Partial</x:v>
      </x:c>
      <x:c r="E26" s="170" t="str">
        <x:v>Quantify cooked lentils next, then sabji; yogurt labels/serving weights remain To verify</x:v>
      </x:c>
    </x:row>
    <x:row r="27" ht="52.79999923706055" hidden="0" customHeight="1">
      <x:c r="A27" s="170" t="str">
        <x:v>Nutrition</x:v>
      </x:c>
      <x:c r="B27" s="170" t="str">
        <x:v>Supplements currently used</x:v>
      </x:c>
      <x:c r="C27" s="170" t="str">
        <x:v>MuscleTech multivitamin; fish oil; MuscleTech EAA+ Energy (user reports always taking one full 13.2 g scoop: 100 mg caffeine and 7.49 g EAAs); Ultimate Nutrition Prostar whey post-workout; Run Nutrition yeast whey at breakfast; Kapiva shilajit 500 mg after lunch</x:v>
      </x:c>
      <x:c r="D27" s="170" t="str">
        <x:v>Partial</x:v>
      </x:c>
      <x:c r="E27" s="170" t="str">
        <x:v>EAA serving habit and label verified; remaining supplement labels still needed</x:v>
      </x:c>
    </x:row>
    <x:row r="28" ht="39.599998474121094" hidden="0" customHeight="1">
      <x:c r="A28" s="170" t="str">
        <x:v>Nutrition</x:v>
      </x:c>
      <x:c r="B28" s="170" t="str">
        <x:v>Late caffeine exposure</x:v>
      </x:c>
      <x:c r="C28" s="170" t="str">
        <x:v>Every workout normally includes one full EAA+ Energy scoop (100 mg caffeine). No black coffee is now the standing workout default unless Vipin reports an exception.</x:v>
      </x:c>
      <x:c r="D28" s="170" t="str">
        <x:v>Partial</x:v>
      </x:c>
      <x:c r="E28" s="170" t="str">
        <x:v>Continue comparing sleep and morning freshness; EAA still provides late caffeine</x:v>
      </x:c>
    </x:row>
    <x:row r="29" ht="39.599998474121094" hidden="0" customHeight="1">
      <x:c r="A29" s="170" t="str">
        <x:v>Lifestyle</x:v>
      </x:c>
      <x:c r="B29" s="170" t="str">
        <x:v>Smoking and alcohol</x:v>
      </x:c>
      <x:c r="C29" s="170" t="str">
        <x:v>Stopped smoking about one month ago.
Alcohol only socially on some weekends; last drink about three weeks before 2026-08-07.</x:v>
      </x:c>
      <x:c r="D29" s="170" t="str">
        <x:v>Known</x:v>
      </x:c>
      <x:c r="E29" s="170" t="str">
        <x:v>Continue tracking only if it affects sleep/recovery</x:v>
      </x:c>
    </x:row>
    <x:row r="30" ht="26.399999618530273" hidden="0" customHeight="1">
      <x:c r="A30" s="170" t="str">
        <x:v>Measurements</x:v>
      </x:c>
      <x:c r="B30" s="170" t="str">
        <x:v>Waist and verified morning weight</x:v>
      </x:c>
      <x:c r="C30" s="170" t="str">
        <x:v>2026-08-23 check-in: 87.7 kg and 38 in at navel (96.5 cm), before food/drink; no morning bowel movement because bowel movement occurred around midnight. Repeated scale readings 87.6-87.7 kg.</x:v>
      </x:c>
      <x:c r="D30" s="170" t="str">
        <x:v>Known with protocol note</x:v>
      </x:c>
      <x:c r="E30" s="170" t="str">
        <x:v>Use seven-day weight average and repeat Sunday waist under matching conditions</x:v>
      </x:c>
    </x:row>
    <x:row r="31" ht="15" hidden="0" customHeight="1">
      <x:c r="A31" s="170" t="str">
        <x:v>Photos</x:v>
      </x:c>
      <x:c r="B31" s="170" t="str">
        <x:v>Current progress photos</x:v>
      </x:c>
      <x:c r="C31" s="170" t="str">
        <x:v>User can share current photos; files and standardized conditions pending</x:v>
      </x:c>
      <x:c r="D31" s="170" t="str">
        <x:v>To verify</x:v>
      </x:c>
      <x:c r="E31" s="170" t="str">
        <x:v>Front, side and back under consistent lighting and posture</x:v>
      </x:c>
    </x:row>
  </x:sheetData>
  <x:mergeCells>
    <x:mergeCell ref="A1:E2"/>
    <x:mergeCell ref="A3:E3"/>
  </x:mergeCells>
  <x:conditionalFormatting sqref="D5:D23">
    <x:cfRule type="containsText" dxfId="5" priority="1" operator="containsText" text="Known"/>
    <x:cfRule type="containsText" dxfId="6" priority="2" operator="containsText" text="Partial"/>
    <x:cfRule type="containsText" dxfId="7" priority="3" operator="containsText" text="To verify"/>
  </x:conditionalFormatting>
  <x:conditionalFormatting sqref="D5:D31">
    <x:cfRule type="containsText" dxfId="8" priority="4" operator="containsText" text="Known"/>
    <x:cfRule type="containsText" dxfId="9" priority="5" operator="containsText" text="Partial"/>
    <x:cfRule type="containsText" dxfId="10" priority="6" operator="containsText" text="To verify"/>
  </x:conditionalFormatting>
  <x:dataValidations count="2">
    <x:dataValidation type="list" sqref="D5:D23">
      <x:formula1>"Known,Partial,To verify"</x:formula1>
    </x:dataValidation>
    <x:dataValidation type="list" sqref="D5:D31">
      <x:formula1>"Known,Partial,To verify"</x:formula1>
    </x:dataValidation>
  </x:dataValidations>
  <x:pageMargins left="0.7" right="0.7" top="0.75" bottom="0.75" header="0.3" footer="0.3"/>
  <x:tableParts count="1">
    <x:tablePart xmlns:r="http://schemas.openxmlformats.org/officeDocument/2006/relationships" r:id="R58fd9f24060149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50" hidden="0" customWidth="1"/>
    <x:col min="4" max="4" width="17" hidden="0" customWidth="1"/>
    <x:col min="5" max="5" width="17" hidden="0" customWidth="1"/>
    <x:col min="6" max="6" width="18" hidden="0" customWidth="1"/>
    <x:col min="7" max="7" width="36" hidden="0" customWidth="1"/>
    <x:col min="8" max="8" width="40" hidden="0" customWidth="1"/>
  </x:cols>
  <x:sheetData>
    <x:row r="1" ht="28" customHeight="1">
      <x:c r="A1" s="177" t="str">
        <x:v>Vegetarian Nutrition Plan &amp; Daily Adherence</x:v>
      </x:c>
      <x:c r="B1" s="177" t="str">
        <x:v>Vegetarian Nutrition Plan &amp; Daily Adherence</x:v>
      </x:c>
      <x:c r="C1" s="177" t="str">
        <x:v>Vegetarian Nutrition Plan &amp; Daily Adherence</x:v>
      </x:c>
      <x:c r="D1" s="177" t="str">
        <x:v>Vegetarian Nutrition Plan &amp; Daily Adherence</x:v>
      </x:c>
      <x:c r="E1" s="177" t="str">
        <x:v>Vegetarian Nutrition Plan &amp; Daily Adherence</x:v>
      </x:c>
      <x:c r="F1" s="177" t="str">
        <x:v>Vegetarian Nutrition Plan &amp; Daily Adherence</x:v>
      </x:c>
      <x:c r="G1" s="177" t="str">
        <x:v>Vegetarian Nutrition Plan &amp; Daily Adherence</x:v>
      </x:c>
      <x:c r="H1" s="177" t="str">
        <x:v>Vegetarian Nutrition Plan &amp; Daily Adherence</x:v>
      </x:c>
    </x:row>
    <x:row r="2" ht="28" customHeight="1">
      <x:c r="A2" s="173" t="str">
        <x:v>Vegetarian Nutrition Plan &amp; Daily Adherence</x:v>
      </x:c>
      <x:c r="B2" s="173" t="str">
        <x:v>Vegetarian Nutrition Plan &amp; Daily Adherence</x:v>
      </x:c>
      <x:c r="C2" s="173" t="str">
        <x:v>Vegetarian Nutrition Plan &amp; Daily Adherence</x:v>
      </x:c>
      <x:c r="D2" s="173" t="str">
        <x:v>Vegetarian Nutrition Plan &amp; Daily Adherence</x:v>
      </x:c>
      <x:c r="E2" s="173" t="str">
        <x:v>Vegetarian Nutrition Plan &amp; Daily Adherence</x:v>
      </x:c>
      <x:c r="F2" s="173" t="str">
        <x:v>Vegetarian Nutrition Plan &amp; Daily Adherence</x:v>
      </x:c>
      <x:c r="G2" s="173" t="str">
        <x:v>Vegetarian Nutrition Plan &amp; Daily Adherence</x:v>
      </x:c>
      <x:c r="H2" s="173" t="str">
        <x:v>Vegetarian Nutrition Plan &amp; Daily Adherence</x:v>
      </x:c>
    </x:row>
    <x:row r="4" ht="15" hidden="0" customHeight="1">
      <x:c r="A4" s="224" t="str">
        <x:v>Working Guidance - Quantities and Product Labels Still to Verify</x:v>
      </x:c>
      <x:c r="B4" s="224" t="str">
        <x:v>Working Guidance - Quantities and Product Labels Still to Verify</x:v>
      </x:c>
      <x:c r="C4" s="224" t="str">
        <x:v>Working Guidance - Quantities and Product Labels Still to Verify</x:v>
      </x:c>
      <x:c r="D4" s="224" t="str">
        <x:v>Working Guidance - Quantities and Product Labels Still to Verify</x:v>
      </x:c>
      <x:c r="E4" s="224" t="str">
        <x:v>Working Guidance - Quantities and Product Labels Still to Verify</x:v>
      </x:c>
      <x:c r="F4" s="224" t="str">
        <x:v>Working Guidance - Quantities and Product Labels Still to Verify</x:v>
      </x:c>
      <x:c r="G4" s="224" t="str">
        <x:v>Working Guidance - Quantities and Product Labels Still to Verify</x:v>
      </x:c>
      <x:c r="H4" s="224" t="str">
        <x:v>Working Guidance - Quantities and Product Labels Still to Verify</x:v>
      </x:c>
    </x:row>
    <x:row r="5" ht="15" hidden="0" customHeight="1">
      <x:c r="A5" s="225" t="str">
        <x:v>Item</x:v>
      </x:c>
      <x:c r="B5" s="226" t="str">
        <x:v>Current Guidance</x:v>
      </x:c>
      <x:c r="C5" s="226" t="str">
        <x:v>Status</x:v>
      </x:c>
      <x:c r="D5" s="226" t="str">
        <x:v>Current Evidence</x:v>
      </x:c>
      <x:c r="E5" s="226" t="str">
        <x:v>Main Unknown</x:v>
      </x:c>
      <x:c r="F5" s="226" t="str">
        <x:v>Coach Action</x:v>
      </x:c>
      <x:c r="G5" s="226" t="str">
        <x:v>Review Trigger</x:v>
      </x:c>
      <x:c r="H5" s="227" t="str">
        <x:v>Notes</x:v>
      </x:c>
    </x:row>
    <x:row r="6" ht="79.19999694824219" hidden="0" customHeight="1">
      <x:c r="A6" s="147" t="str">
        <x:v>Protein</x:v>
      </x:c>
      <x:c r="B6" s="150" t="str">
        <x:v>140-170 g/day provisional working range</x:v>
      </x:c>
      <x:c r="C6" s="150" t="str">
        <x:v>Partial</x:v>
      </x:c>
      <x:c r="D6" s="150" t="str">
        <x:v>113.60 g/day quantified minimum; eggs introduced but actual intake is not yet confirmed</x:v>
      </x:c>
      <x:c r="E6" s="150" t="str">
        <x:v>Protein from eggs, sabji, fruit, lentils and salad; ghee calories</x:v>
      </x:c>
      <x:c r="F6" s="150" t="str">
        <x:v>Confirm actual egg intake, then quantify cooked lentils and sabji</x:v>
      </x:c>
      <x:c r="G6" s="150" t="str">
        <x:v>7-day intake log plus Sunday trend</x:v>
      </x:c>
      <x:c r="H6" s="152" t="str">
        <x:v>Do not count EAA grams as dietary protein; do not add provisional egg protein until confirmed</x:v>
      </x:c>
    </x:row>
    <x:row r="7" ht="39.599998474121094" hidden="0" customHeight="1">
      <x:c r="A7" s="153" t="str">
        <x:v>Calories</x:v>
      </x:c>
      <x:c r="B7" s="156" t="str">
        <x:v>Not assigned</x:v>
      </x:c>
      <x:c r="C7" s="156" t="str">
        <x:v>To verify</x:v>
      </x:c>
      <x:c r="D7" s="156" t="str">
        <x:v>Food pattern is known</x:v>
      </x:c>
      <x:c r="E7" s="156" t="str">
        <x:v>Portions, cooking oil, brands and 2-3 weeks of weight/waist trend</x:v>
      </x:c>
      <x:c r="F7" s="156" t="str">
        <x:v>Keep intake consistent; calculate only after quantities are supplied</x:v>
      </x:c>
      <x:c r="G7" s="156" t="str">
        <x:v>At least 2 weeks of reliable data</x:v>
      </x:c>
      <x:c r="H7" s="158" t="str">
        <x:v>No crash diet</x:v>
      </x:c>
    </x:row>
    <x:row r="8" ht="52.79999923706055" hidden="0" customHeight="1">
      <x:c r="A8" s="153" t="str">
        <x:v>Diet pattern</x:v>
      </x:c>
      <x:c r="B8" s="156" t="str">
        <x:v>Eggs introduced; prior lacto-vegetarian pattern updated</x:v>
      </x:c>
      <x:c r="C8" s="156" t="str">
        <x:v>Partial / To verify</x:v>
      </x:c>
      <x:c r="D8" s="156" t="str">
        <x:v>Vipin reported starting eggs on 2026-08-24; milk, yogurt and whey remain in use</x:v>
      </x:c>
      <x:c r="E8" s="156" t="str">
        <x:v>Exact egg count, whole/white split, preparation, frequency and whether sandwich is replaced</x:v>
      </x:c>
      <x:c r="F8" s="156" t="str">
        <x:v>Recommended 2 whole eggs + 2 whites replacing the tofu sandwich; do not add eggs to every meal</x:v>
      </x:c>
      <x:c r="G8" s="156" t="str">
        <x:v>Confirm actual intake before changing protein subtotal</x:v>
      </x:c>
      <x:c r="H8" s="158" t="str">
        <x:v>Alternative: 3 whole eggs when separating whites is inconvenient</x:v>
      </x:c>
    </x:row>
    <x:row r="9" ht="39.599998474121094" hidden="0" customHeight="1">
      <x:c r="A9" s="153" t="str">
        <x:v>Hydration</x:v>
      </x:c>
      <x:c r="B9" s="156" t="str">
        <x:v>3-4 L/day reported</x:v>
      </x:c>
      <x:c r="C9" s="156" t="str">
        <x:v>Active</x:v>
      </x:c>
      <x:c r="D9" s="156" t="str">
        <x:v>User-reported typical intake</x:v>
      </x:c>
      <x:c r="E9" s="156" t="str">
        <x:v>Actual training-day and rest-day consistency</x:v>
      </x:c>
      <x:c r="F9" s="156" t="str">
        <x:v>Log water in the daily tracker</x:v>
      </x:c>
      <x:c r="G9" s="156" t="str">
        <x:v>Weekly review</x:v>
      </x:c>
      <x:c r="H9" s="158" t="str">
        <x:v>Adjust for heat and sweat; avoid forcing excessive water</x:v>
      </x:c>
    </x:row>
    <x:row r="10" ht="132" hidden="0" customHeight="1">
      <x:c r="A10" s="153" t="str">
        <x:v>Caffeine / sleep</x:v>
      </x:c>
      <x:c r="B10" s="156" t="str">
        <x:v>100 mg caffeine from a full EAA+ Energy serving; coffee adds an unknown amount</x:v>
      </x:c>
      <x:c r="C10" s="156" t="str">
        <x:v>Partial</x:v>
      </x:c>
      <x:c r="D10" s="156" t="str">
        <x:v>Workout EAA+ label provides 100 mg caffeine. On the 2026-08-09 rest day, EAA+ was omitted; Vipin slept ~23:30-08:00 (~8.5 h) and woke fresh on 2026-08-10.</x:v>
      </x:c>
      <x:c r="E10" s="156" t="str">
        <x:v>Whether the improvement came from no EAA+ caffeine, the earlier chosen bedtime, rest-day recovery, or their combination; other caffeine intake that day was not reconfirmed</x:v>
      </x:c>
      <x:c r="F10" s="156" t="str">
        <x:v>Continue avoiding extra black coffee. Compare several workout nights using EAA+ with caffeine-free rest nights; record bedtime, wake time, awakenings and morning freshness.</x:v>
      </x:c>
      <x:c r="G10" s="156" t="str">
        <x:v>At least 5-7 comparable nights, including workout and rest days</x:v>
      </x:c>
      <x:c r="H10" s="158" t="str">
        <x:v>This is the strongest caffeine-free rest-night datapoint so far, but one night is not causal proof.</x:v>
      </x:c>
    </x:row>
    <x:row r="11" ht="52.79999923706055" hidden="0" customHeight="1">
      <x:c r="A11" s="153" t="str">
        <x:v>Meal timing</x:v>
      </x:c>
      <x:c r="B11" s="156" t="str">
        <x:v>Late-workout structure is usable</x:v>
      </x:c>
      <x:c r="C11" s="156" t="str">
        <x:v>Partial</x:v>
      </x:c>
      <x:c r="D11" s="156" t="str">
        <x:v>Pre-, intra-, post-workout and dinner pattern reported</x:v>
      </x:c>
      <x:c r="E11" s="156" t="str">
        <x:v>Exact times and portions</x:v>
      </x:c>
      <x:c r="F11" s="156" t="str">
        <x:v>Keep pre-workout food digestible and quantify the plan</x:v>
      </x:c>
      <x:c r="G11" s="156" t="str">
        <x:v>Training comfort and sleep</x:v>
      </x:c>
      <x:c r="H11" s="158" t="str">
        <x:v>Dinner timing should not compromise sleep comfort</x:v>
      </x:c>
    </x:row>
    <x:row r="12" ht="66" hidden="0" customHeight="1">
      <x:c r="A12" s="159" t="str">
        <x:v>Supplements</x:v>
      </x:c>
      <x:c r="B12" s="162" t="str">
        <x:v>EAA+ Energy label verified; remaining supplement labels pending</x:v>
      </x:c>
      <x:c r="C12" s="162" t="str">
        <x:v>Partial</x:v>
      </x:c>
      <x:c r="D12" s="162" t="str">
        <x:v>1 scoop (13.2 g): 7.49 g EAAs, 100 mg caffeine, 3 kcal; label says once daily</x:v>
      </x:c>
      <x:c r="E12" s="162" t="str">
        <x:v>Actual scoop used; labels for multivitamin, fish oil, whey products and shilajit</x:v>
      </x:c>
      <x:c r="F12" s="162" t="str">
        <x:v>For late workouts, replace with caffeine-free EAA/electrolyte or water when practical</x:v>
      </x:c>
      <x:c r="G12" s="162" t="str">
        <x:v>Sleep trial and remaining label review</x:v>
      </x:c>
      <x:c r="H12" s="164" t="str">
        <x:v>Do not exceed the package maximum of one serving daily</x:v>
      </x:c>
    </x:row>
    <x:row r="13" ht="15" hidden="0" customHeight="1">
      <x:c r="A13" s="170"/>
      <x:c r="B13" s="170"/>
      <x:c r="C13" s="170"/>
      <x:c r="D13" s="170"/>
      <x:c r="E13" s="170"/>
      <x:c r="F13" s="170"/>
      <x:c r="G13" s="170"/>
      <x:c r="H13" s="170"/>
    </x:row>
    <x:row r="14" ht="15" hidden="0" customHeight="1">
      <x:c r="A14" s="224" t="str">
        <x:v>Current Meal Plan - Reported 2026-08-07</x:v>
      </x:c>
      <x:c r="B14" s="224" t="str">
        <x:v>Current Meal Plan - Reported 2026-08-07</x:v>
      </x:c>
      <x:c r="C14" s="224" t="str">
        <x:v>Current Meal Plan - Reported 2026-08-07</x:v>
      </x:c>
      <x:c r="D14" s="224" t="str">
        <x:v>Current Meal Plan - Reported 2026-08-07</x:v>
      </x:c>
      <x:c r="E14" s="224" t="str">
        <x:v>Current Meal Plan - Reported 2026-08-07</x:v>
      </x:c>
      <x:c r="F14" s="224" t="str">
        <x:v>Current Meal Plan - Reported 2026-08-07</x:v>
      </x:c>
      <x:c r="G14" s="224" t="str">
        <x:v>Current Meal Plan - Reported 2026-08-07</x:v>
      </x:c>
      <x:c r="H14" s="224" t="str">
        <x:v>Current Meal Plan - Reported 2026-08-07</x:v>
      </x:c>
    </x:row>
    <x:row r="15" ht="15" hidden="0" customHeight="1">
      <x:c r="A15" s="170" t="str">
        <x:v>Meal</x:v>
      </x:c>
      <x:c r="B15" s="170" t="str">
        <x:v>Typical Time</x:v>
      </x:c>
      <x:c r="C15" s="170" t="str">
        <x:v>Foods / Portions</x:v>
      </x:c>
      <x:c r="D15" s="170" t="str">
        <x:v>Explicit Protein (g)</x:v>
      </x:c>
      <x:c r="E15" s="170" t="str">
        <x:v>Calories</x:v>
      </x:c>
      <x:c r="F15" s="170" t="str">
        <x:v>Status</x:v>
      </x:c>
      <x:c r="G15" s="170" t="str">
        <x:v>To Verify</x:v>
      </x:c>
      <x:c r="H15" s="170" t="str">
        <x:v>Coach Notes</x:v>
      </x:c>
    </x:row>
    <x:row r="16" ht="66" hidden="0" customHeight="1">
      <x:c r="A16" s="170" t="str">
        <x:v>Breakfast</x:v>
      </x:c>
      <x:c r="B16" s="170" t="str">
        <x:v>After waking;
exact time to verify</x:v>
      </x:c>
      <x:c r="C16" s="170" t="str">
        <x:v>1 scoop Run Nutrition yeast whey (26 g protein)
60 g Kellogg's Muesli Nuts Delight
200 mL milk from supplied label; exact toned/full-cream variant To verify
Multivitamin and fish oil</x:v>
      </x:c>
      <x:c r="D16" s="371" t="n">
        <x:f>SUM('Protein Calculator'!$G$6:$G$8)</x:f>
        <x:v>36.980000000000004</x:v>
      </x:c>
      <x:c r="E16" s="170"/>
      <x:c r="F16" s="170" t="str">
        <x:v>Partial</x:v>
      </x:c>
      <x:c r="G16" s="170" t="str">
        <x:v>Exact milk variant and remaining supplement labels</x:v>
      </x:c>
      <x:c r="H16" s="170" t="str">
        <x:v>Known breakfast: 36.98 g (26 g whey + 4.98 g muesli + approximately 6.0 g milk).</x:v>
      </x:c>
    </x:row>
    <x:row r="17" ht="15" hidden="0" customHeight="1">
      <x:c r="A17" s="170" t="str">
        <x:v>Mid-morning / optional</x:v>
      </x:c>
      <x:c r="B17" s="170" t="str">
        <x:v>Not reported</x:v>
      </x:c>
      <x:c r="C17" s="170" t="str">
        <x:v>No regular item reported</x:v>
      </x:c>
      <x:c r="D17" s="371"/>
      <x:c r="E17" s="170"/>
      <x:c r="F17" s="170" t="str">
        <x:v>To verify</x:v>
      </x:c>
      <x:c r="G17" s="170" t="str">
        <x:v>Whether anything is eaten or drunk</x:v>
      </x:c>
      <x:c r="H17" s="170" t="str">
        <x:v>Leave blank rather than infer</x:v>
      </x:c>
    </x:row>
    <x:row r="18" ht="26.399999618530273" hidden="0" customHeight="1">
      <x:c r="A18" s="170" t="str">
        <x:v>Lunch</x:v>
      </x:c>
      <x:c r="B18" s="170" t="str">
        <x:v>During workday;
exact time to verify</x:v>
      </x:c>
      <x:c r="C18" s="170" t="str">
        <x:v>3 rotis with sabji; Epigamia Turbo yogurt (17 g protein reported)
Kapiva shilajit 500 mg after lunch</x:v>
      </x:c>
      <x:c r="D18" s="371" t="n">
        <x:v>27.63125</x:v>
      </x:c>
      <x:c r="E18" s="170"/>
      <x:c r="F18" s="170" t="str">
        <x:v>Partial</x:v>
      </x:c>
      <x:c r="G18" s="170" t="str">
        <x:v>Sabji quantity/oil; ghee amount/frequency; yogurt serving weight/label</x:v>
      </x:c>
      <x:c r="H18" s="170" t="str">
        <x:v>3 rotis = 101.25 g dry atta and 10.63 g protein. Lunch known minimum = 27.63 g including reported 17 g yogurt.</x:v>
      </x:c>
    </x:row>
    <x:row r="19" ht="39.599998474121094" hidden="0" customHeight="1">
      <x:c r="A19" s="170" t="str">
        <x:v>Evening snack</x:v>
      </x:c>
      <x:c r="B19" s="170" t="str">
        <x:v>Before evening workout;
exact time to verify</x:v>
      </x:c>
      <x:c r="C19" s="170" t="str">
        <x:v>Some fruit, not daily
One tofu sandwich: 29 g tofu and two whole-wheat bread slices</x:v>
      </x:c>
      <x:c r="D19" s="371" t="n">
        <x:f>SUM('Protein Calculator'!$G$13:$G$14)</x:f>
        <x:v>8.9851</x:v>
      </x:c>
      <x:c r="E19" s="170"/>
      <x:c r="F19" s="170" t="str">
        <x:v>Partial</x:v>
      </x:c>
      <x:c r="G19" s="170" t="str">
        <x:v>Whether egg option replaces sandwich; exact egg count/preparation; spreads/oil and fruit frequency</x:v>
      </x:c>
      <x:c r="H19" s="170" t="str">
        <x:v>Current confirmed sandwich remains quantified at 8.99 g protein. Proposed cutting substitution is 2 whole eggs + 2 whites; do not count until actual intake is confirmed.</x:v>
      </x:c>
    </x:row>
    <x:row r="20" ht="26.399999618530273" hidden="0" customHeight="1">
      <x:c r="A20" s="170" t="str">
        <x:v>Pre-workout</x:v>
      </x:c>
      <x:c r="B20" s="170" t="str">
        <x:v>Before ~21:00 workout</x:v>
      </x:c>
      <x:c r="C20" s="170" t="str">
        <x:v>Half-spoon black coffee; banana or another fruit</x:v>
      </x:c>
      <x:c r="D20" s="371"/>
      <x:c r="E20" s="170"/>
      <x:c r="F20" s="170" t="str">
        <x:v>Partial</x:v>
      </x:c>
      <x:c r="G20" s="170" t="str">
        <x:v>Coffee type/grams and caffeine; fruit quantity</x:v>
      </x:c>
      <x:c r="H20" s="170" t="str">
        <x:v>Late caffeine is a sleep variable; Current no-coffee trial: omitted on 2026-08-07 and 2026-08-08</x:v>
      </x:c>
    </x:row>
    <x:row r="21" ht="184.8000030517578" hidden="0" customHeight="1">
      <x:c r="A21" s="170" t="str">
        <x:v>During workout</x:v>
      </x:c>
      <x:c r="B21" s="170" t="str">
        <x:v>During ~21:00 workout</x:v>
      </x:c>
      <x:c r="C21" s="170" t="str">
        <x:v>MuscleTech EAA+ Energy, Sour Apple
Label serving: 1 scoop (13.2 g) in 240 mL cold water</x:v>
      </x:c>
      <x:c r="D21" s="371"/>
      <x:c r="E21" s="170" t="n">
        <x:v>3</x:v>
      </x:c>
      <x:c r="F21" s="170" t="str">
        <x:v>Active</x:v>
      </x:c>
      <x:c r="G21" s="170" t="str">
        <x:v>User confirmed on 2026-08-09 that every workout uses one full level scoop</x:v>
      </x:c>
      <x:c r="H21" s="170" t="str">
        <x:v>Actual serving: 13.2 g, 7.49 g EAAs and 100 mg caffeine; no black coffee before today's workout; Equal workout energy without coffee reported after 2026-08-07 Shoulder session; overnight sleep and morning freshness pending; Follow-up 2026-08-08: ~8 h subjectively very good sleep and refreshed, energetic morning despite 100 mg EAA+ caffeine; bedtime was deliberately delayed, so continue tracking; Triceps session 2026-08-08 started ~18:30: EAA+ used, no black coffee, medium workout energy; serving amount not reconfirmed (To verify); Routine confirmed 2026-08-09: full 13.2 g scoop every workout, so the 2026-08-08 Triceps serving is resolved as 100 mg caffeine and 7.49 g EAAs</x:v>
      </x:c>
    </x:row>
    <x:row r="22" ht="15" hidden="0" customHeight="1">
      <x:c r="A22" s="170" t="str">
        <x:v>Post-workout</x:v>
      </x:c>
      <x:c r="B22" s="170" t="str">
        <x:v>After workout</x:v>
      </x:c>
      <x:c r="C22" s="170" t="str">
        <x:v>Ultimate Nutrition Prostar whey (25 g protein)</x:v>
      </x:c>
      <x:c r="D22" s="371" t="n">
        <x:v>25</x:v>
      </x:c>
      <x:c r="E22" s="170"/>
      <x:c r="F22" s="170" t="str">
        <x:v>Partial</x:v>
      </x:c>
      <x:c r="G22" s="170" t="str">
        <x:v>Exact scoop/serving and label</x:v>
      </x:c>
      <x:c r="H22" s="170" t="str">
        <x:v>25 g counted from the stated serving</x:v>
      </x:c>
    </x:row>
    <x:row r="23" ht="26.399999618530273" hidden="0" customHeight="1">
      <x:c r="A23" s="170" t="str">
        <x:v>Dinner</x:v>
      </x:c>
      <x:c r="B23" s="170" t="str">
        <x:v>After workout;
exact time to verify</x:v>
      </x:c>
      <x:c r="C23" s="170" t="str">
        <x:v>1 bowl cooked Indian lentils; 1 bowl salad
1 Epigamia Turbo Flavored yogurt (15 g protein reported)</x:v>
      </x:c>
      <x:c r="D23" s="371" t="n">
        <x:v>15</x:v>
      </x:c>
      <x:c r="E23" s="170"/>
      <x:c r="F23" s="170" t="str">
        <x:v>Partial</x:v>
      </x:c>
      <x:c r="G23" s="170" t="str">
        <x:v>Cooked lentil quantity/type; salad dressing; yogurt flavor/serving weight/label</x:v>
      </x:c>
      <x:c r="H23" s="170" t="str">
        <x:v>15 g counts only the reported yogurt; lentil protein not yet counted</x:v>
      </x:c>
    </x:row>
    <x:row r="24" ht="15" hidden="0" customHeight="1">
      <x:c r="A24" s="170"/>
      <x:c r="B24" s="170"/>
      <x:c r="C24" s="170"/>
      <x:c r="D24" s="371"/>
      <x:c r="E24" s="170"/>
      <x:c r="F24" s="170"/>
      <x:c r="G24" s="170"/>
      <x:c r="H24" s="170"/>
    </x:row>
    <x:row r="25" ht="15" hidden="0" customHeight="1">
      <x:c r="A25" s="264" t="str">
        <x:v>Explicitly stated protein minimum (unquantified foods excluded)</x:v>
      </x:c>
      <x:c r="B25" s="265" t="str">
        <x:v>Explicitly stated protein minimum (unquantified foods excluded)</x:v>
      </x:c>
      <x:c r="C25" s="265" t="str">
        <x:v>Explicitly stated protein minimum (unquantified foods excluded)</x:v>
      </x:c>
      <x:c r="D25" s="373" t="n">
        <x:v>113.59635</x:v>
      </x:c>
      <x:c r="E25" s="265" t="str">
        <x:v>Current quantified minimum: 113.60 g/day. Sabji, fruit, cooked lentils and salad remain unquantified; ghee calories remain To verify.</x:v>
      </x:c>
      <x:c r="F25" s="265" t="str">
        <x:v>Current quantified minimum: 113.60 g/day. Sabji, fruit, cooked lentils and salad remain unquantified; ghee calories remain To verify.</x:v>
      </x:c>
      <x:c r="G25" s="265" t="str">
        <x:v>Current quantified minimum: 113.60 g/day. Sabji, fruit, cooked lentils and salad remain unquantified; ghee calories remain To verify.</x:v>
      </x:c>
      <x:c r="H25" s="266" t="str">
        <x:v>Current quantified minimum: 113.60 g/day. Sabji, fruit, cooked lentils and salad remain unquantified; ghee calories remain To verify.</x:v>
      </x:c>
    </x:row>
    <x:row r="26" ht="15" hidden="0" customHeight="1">
      <x:c r="A26" s="170"/>
      <x:c r="B26" s="170"/>
      <x:c r="C26" s="170"/>
      <x:c r="D26" s="170"/>
      <x:c r="E26" s="170"/>
      <x:c r="F26" s="170"/>
      <x:c r="G26" s="170"/>
      <x:c r="H26" s="170"/>
    </x:row>
    <x:row r="27" ht="15" hidden="0" customHeight="1">
      <x:c r="A27" s="224" t="str">
        <x:v>Daily Nutrition &amp; Activity Log</x:v>
      </x:c>
      <x:c r="B27" s="224" t="str">
        <x:v>Daily Nutrition &amp; Activity Log</x:v>
      </x:c>
      <x:c r="C27" s="224" t="str">
        <x:v>Daily Nutrition &amp; Activity Log</x:v>
      </x:c>
      <x:c r="D27" s="224" t="str">
        <x:v>Daily Nutrition &amp; Activity Log</x:v>
      </x:c>
      <x:c r="E27" s="224" t="str">
        <x:v>Daily Nutrition &amp; Activity Log</x:v>
      </x:c>
      <x:c r="F27" s="224" t="str">
        <x:v>Daily Nutrition &amp; Activity Log</x:v>
      </x:c>
      <x:c r="G27" s="224" t="str">
        <x:v>Daily Nutrition &amp; Activity Log</x:v>
      </x:c>
      <x:c r="H27" s="224" t="str">
        <x:v>Daily Nutrition &amp; Activity Log</x:v>
      </x:c>
    </x:row>
    <x:row r="28" ht="15" hidden="0" customHeight="1">
      <x:c r="A28" s="170" t="str">
        <x:v>Date</x:v>
      </x:c>
      <x:c r="B28" s="170" t="str">
        <x:v>Protein (g)</x:v>
      </x:c>
      <x:c r="C28" s="170" t="str">
        <x:v>Calories</x:v>
      </x:c>
      <x:c r="D28" s="170" t="str">
        <x:v>Water (L)</x:v>
      </x:c>
      <x:c r="E28" s="170" t="str">
        <x:v>Steps</x:v>
      </x:c>
      <x:c r="F28" s="170" t="str">
        <x:v>Cardio</x:v>
      </x:c>
      <x:c r="G28" s="170" t="str">
        <x:v>Plan Adherence</x:v>
      </x:c>
      <x:c r="H28" s="170" t="str">
        <x:v>Notes</x:v>
      </x:c>
    </x:row>
    <x:row r="29" ht="15" hidden="0" customHeight="1">
      <x:c r="A29" s="170"/>
      <x:c r="B29" s="170"/>
      <x:c r="C29" s="170"/>
      <x:c r="D29" s="170"/>
      <x:c r="E29" s="170"/>
      <x:c r="F29" s="170"/>
      <x:c r="G29" s="170"/>
      <x:c r="H29" s="170"/>
    </x:row>
    <x:row r="30" ht="15" hidden="0" customHeight="1">
      <x:c r="A30" s="170"/>
      <x:c r="B30" s="170"/>
      <x:c r="C30" s="170"/>
      <x:c r="D30" s="170"/>
      <x:c r="E30" s="170"/>
      <x:c r="F30" s="170"/>
      <x:c r="G30" s="170"/>
      <x:c r="H30" s="170"/>
    </x:row>
    <x:row r="31" ht="15" hidden="0" customHeight="1">
      <x:c r="A31" s="224" t="str">
        <x:v>Verified Supplement Label Register</x:v>
      </x:c>
      <x:c r="B31" s="224" t="str">
        <x:v>Verified Supplement Label Register</x:v>
      </x:c>
      <x:c r="C31" s="224" t="str">
        <x:v>Verified Supplement Label Register</x:v>
      </x:c>
      <x:c r="D31" s="224" t="str">
        <x:v>Verified Supplement Label Register</x:v>
      </x:c>
      <x:c r="E31" s="224" t="str">
        <x:v>Verified Supplement Label Register</x:v>
      </x:c>
      <x:c r="F31" s="224" t="str">
        <x:v>Verified Supplement Label Register</x:v>
      </x:c>
      <x:c r="G31" s="224" t="str">
        <x:v>Verified Supplement Label Register</x:v>
      </x:c>
      <x:c r="H31" s="224" t="str">
        <x:v>Verified Supplement Label Register</x:v>
      </x:c>
    </x:row>
    <x:row r="32" ht="15" hidden="0" customHeight="1">
      <x:c r="A32" s="225" t="str">
        <x:v>Product</x:v>
      </x:c>
      <x:c r="B32" s="226" t="str">
        <x:v>Label Field</x:v>
      </x:c>
      <x:c r="C32" s="226" t="str">
        <x:v>Verified Value</x:v>
      </x:c>
      <x:c r="D32" s="227" t="str">
        <x:v>Evidence / Status</x:v>
      </x:c>
      <x:c r="E32" s="170"/>
      <x:c r="F32" s="170"/>
      <x:c r="G32" s="170"/>
      <x:c r="H32" s="170"/>
    </x:row>
    <x:row r="33" ht="26.399999618530273" hidden="0" customHeight="1">
      <x:c r="A33" s="170" t="str">
        <x:v>MuscleTech EAA+ Energy</x:v>
      </x:c>
      <x:c r="B33" s="170" t="str">
        <x:v>Serving</x:v>
      </x:c>
      <x:c r="C33" s="170" t="str">
        <x:v>1 scoop (13.2 g); approximately 30 servings</x:v>
      </x:c>
      <x:c r="D33" s="170" t="str">
        <x:v>Label and full level scoop verified</x:v>
      </x:c>
      <x:c r="E33" s="170"/>
      <x:c r="F33" s="170"/>
      <x:c r="G33" s="170"/>
      <x:c r="H33" s="170"/>
    </x:row>
    <x:row r="34" ht="26.399999618530273" hidden="0" customHeight="1">
      <x:c r="A34" s="170" t="str">
        <x:v>MuscleTech EAA+ Energy</x:v>
      </x:c>
      <x:c r="B34" s="170" t="str">
        <x:v>EAA profile</x:v>
      </x:c>
      <x:c r="C34" s="170" t="str">
        <x:v>7.49 g total EAAs, including leucine 3 g and BCAAs 4.5 g</x:v>
      </x:c>
      <x:c r="D34" s="170" t="str">
        <x:v>Nutrition panel verified</x:v>
      </x:c>
      <x:c r="E34" s="170"/>
      <x:c r="F34" s="170"/>
      <x:c r="G34" s="170"/>
      <x:c r="H34" s="170"/>
    </x:row>
    <x:row r="35" ht="26.399999618530273" hidden="0" customHeight="1">
      <x:c r="A35" s="170" t="str">
        <x:v>MuscleTech EAA+ Energy</x:v>
      </x:c>
      <x:c r="B35" s="170" t="str">
        <x:v>Caffeine and energy</x:v>
      </x:c>
      <x:c r="C35" s="170" t="str">
        <x:v>Caffeine 100 mg; energy 3 kcal; protein 0 g per serving</x:v>
      </x:c>
      <x:c r="D35" s="170" t="str">
        <x:v>Verified; not dietary protein</x:v>
      </x:c>
      <x:c r="E35" s="170"/>
      <x:c r="F35" s="170"/>
      <x:c r="G35" s="170"/>
      <x:c r="H35" s="170"/>
    </x:row>
    <x:row r="36" ht="26.399999618530273" hidden="0" customHeight="1">
      <x:c r="A36" s="170" t="str">
        <x:v>MuscleTech EAA+ Energy</x:v>
      </x:c>
      <x:c r="B36" s="170" t="str">
        <x:v>Electrolytes</x:v>
      </x:c>
      <x:c r="C36" s="170" t="str">
        <x:v>Potassium 292 mg; sodium 109 mg; calcium 45 mg; magnesium 34 mg; phosphorus 116 mg</x:v>
      </x:c>
      <x:c r="D36" s="170" t="str">
        <x:v>Nutrition panel verified</x:v>
      </x:c>
      <x:c r="E36" s="170"/>
      <x:c r="F36" s="170"/>
      <x:c r="G36" s="170"/>
      <x:c r="H36" s="170"/>
    </x:row>
    <x:row r="37" ht="26.399999618530273" hidden="0" customHeight="1">
      <x:c r="A37" s="170" t="str">
        <x:v>MuscleTech EAA+ Energy</x:v>
      </x:c>
      <x:c r="B37" s="170" t="str">
        <x:v>Directions</x:v>
      </x:c>
      <x:c r="C37" s="170" t="str">
        <x:v>Mix 1 scoop with 240 mL cold water; consume once daily; maximum recommended dose 1 serving/day</x:v>
      </x:c>
      <x:c r="D37" s="170" t="str">
        <x:v>Follow label maximum</x:v>
      </x:c>
      <x:c r="E37" s="170"/>
      <x:c r="F37" s="170"/>
      <x:c r="G37" s="170"/>
      <x:c r="H37" s="170"/>
    </x:row>
    <x:row r="38" ht="26.399999618530273" hidden="0" customHeight="1">
      <x:c r="A38" s="170" t="str">
        <x:v>MuscleTech EAA+ Energy</x:v>
      </x:c>
      <x:c r="B38" s="170" t="str">
        <x:v>Ingredients / allergen note</x:v>
      </x:c>
      <x:c r="C38" s="170" t="str">
        <x:v>Contains sucralose and steviol glycosides; processed in a facility that also handles milk, fish, tree nuts and soy</x:v>
      </x:c>
      <x:c r="D38" s="170" t="str">
        <x:v>Label statement</x:v>
      </x:c>
      <x:c r="E38" s="170"/>
      <x:c r="F38" s="170"/>
      <x:c r="G38" s="170"/>
      <x:c r="H38" s="170"/>
    </x:row>
    <x:row r="39" ht="26.399999618530273" hidden="0" customHeight="1">
      <x:c r="A39" s="170" t="str">
        <x:v>MuscleTech EAA+ Energy</x:v>
      </x:c>
      <x:c r="B39" s="170" t="str">
        <x:v>Manufacture / expiry / evidence</x:v>
      </x:c>
      <x:c r="C39" s="170" t="str">
        <x:v>MFG Dec 2024; EXP Nov 2026
evidence/supplement_labels/2026-08-07/muscletech-eaa-energy</x:v>
      </x:c>
      <x:c r="D39" s="170" t="str">
        <x:v>Four photos saved locally</x:v>
      </x:c>
      <x:c r="E39" s="170"/>
      <x:c r="F39" s="170"/>
      <x:c r="G39" s="170"/>
      <x:c r="H39" s="170"/>
    </x:row>
    <x:row r="40" ht="15" hidden="0" customHeight="1">
      <x:c r="A40" s="170"/>
      <x:c r="B40" s="170"/>
      <x:c r="C40" s="170"/>
      <x:c r="D40" s="170"/>
      <x:c r="E40" s="170"/>
      <x:c r="F40" s="170"/>
      <x:c r="G40" s="170"/>
      <x:c r="H40" s="170"/>
    </x:row>
    <x:row r="41" ht="15" hidden="0" customHeight="1">
      <x:c r="A41" s="224" t="str">
        <x:v>Verified Food Label Register</x:v>
      </x:c>
      <x:c r="B41" s="224" t="str">
        <x:v>Verified Food Label Register</x:v>
      </x:c>
      <x:c r="C41" s="224" t="str">
        <x:v>Verified Food Label Register</x:v>
      </x:c>
      <x:c r="D41" s="224" t="str">
        <x:v>Verified Food Label Register</x:v>
      </x:c>
      <x:c r="E41" s="339" t="str">
        <x:v>Verified Food Label Register</x:v>
      </x:c>
      <x:c r="F41" s="339" t="str">
        <x:v>Verified Food Label Register</x:v>
      </x:c>
      <x:c r="G41" s="339" t="str">
        <x:v>Verified Food Label Register</x:v>
      </x:c>
      <x:c r="H41" s="339" t="str">
        <x:v>Verified Food Label Register</x:v>
      </x:c>
    </x:row>
    <x:row r="42" ht="15" hidden="0" customHeight="1">
      <x:c r="A42" s="225" t="str">
        <x:v>Product</x:v>
      </x:c>
      <x:c r="B42" s="226" t="str">
        <x:v>Label / portion field</x:v>
      </x:c>
      <x:c r="C42" s="226" t="str">
        <x:v>Verified value</x:v>
      </x:c>
      <x:c r="D42" s="227" t="str">
        <x:v>Evidence / status</x:v>
      </x:c>
      <x:c r="E42" s="170"/>
      <x:c r="F42" s="170"/>
      <x:c r="G42" s="170"/>
      <x:c r="H42" s="170"/>
    </x:row>
    <x:row r="43" ht="52.79999923706055" hidden="0" customHeight="1">
      <x:c r="A43" s="170" t="str">
        <x:v>Milk</x:v>
      </x:c>
      <x:c r="B43" s="170" t="str">
        <x:v>Serving and protein</x:v>
      </x:c>
      <x:c r="C43" s="170" t="str">
        <x:v>200 mL consumed; label protein 3.0 g per 100 g; approximately 6.0 g protein</x:v>
      </x:c>
      <x:c r="D43" s="170" t="str">
        <x:v>Label basis verified; exact toned/full-cream variant To verify</x:v>
      </x:c>
      <x:c r="E43" s="170"/>
      <x:c r="F43" s="170"/>
      <x:c r="G43" s="170"/>
      <x:c r="H43" s="170"/>
    </x:row>
    <x:row r="44" ht="52.79999923706055" hidden="0" customHeight="1">
      <x:c r="A44" s="170" t="str">
        <x:v>Milk</x:v>
      </x:c>
      <x:c r="B44" s="170" t="str">
        <x:v>Calculation convention</x:v>
      </x:c>
      <x:c r="C44" s="170" t="str">
        <x:v>200 mL treated as approximately 200 g because the package reports a 200 mL serving against per-100-g nutrition</x:v>
      </x:c>
      <x:c r="D44" s="170" t="str">
        <x:v>Approximation disclosed; do not reuse if product label changes</x:v>
      </x:c>
      <x:c r="E44" s="170"/>
      <x:c r="F44" s="170"/>
      <x:c r="G44" s="170"/>
      <x:c r="H44" s="170"/>
    </x:row>
    <x:row r="45" ht="15" hidden="0" customHeight="1">
      <x:c r="A45" s="170" t="str">
        <x:v>Tofu</x:v>
      </x:c>
      <x:c r="B45" s="170" t="str">
        <x:v>Nutrition</x:v>
      </x:c>
      <x:c r="C45" s="170" t="str">
        <x:v>14.19 g protein per 100 g</x:v>
      </x:c>
      <x:c r="D45" s="170" t="str">
        <x:v>Label verified</x:v>
      </x:c>
      <x:c r="E45" s="170"/>
      <x:c r="F45" s="170"/>
      <x:c r="G45" s="170"/>
      <x:c r="H45" s="170"/>
    </x:row>
    <x:row r="46" ht="26.399999618530273" hidden="0" customHeight="1">
      <x:c r="A46" s="170" t="str">
        <x:v>Tofu</x:v>
      </x:c>
      <x:c r="B46" s="170" t="str">
        <x:v>Consumed portion</x:v>
      </x:c>
      <x:c r="C46" s="170" t="str">
        <x:v>58 g total makes two sandwiches; 29 g consumed = 4.12 g protein</x:v>
      </x:c>
      <x:c r="D46" s="170" t="str">
        <x:v>Weight photo and user split verified</x:v>
      </x:c>
      <x:c r="E46" s="170"/>
      <x:c r="F46" s="170"/>
      <x:c r="G46" s="170"/>
      <x:c r="H46" s="170"/>
    </x:row>
    <x:row r="47" ht="15" hidden="0" customHeight="1">
      <x:c r="A47" s="170" t="str">
        <x:v>Brown high-fibre bread</x:v>
      </x:c>
      <x:c r="B47" s="170" t="str">
        <x:v>Nutrition</x:v>
      </x:c>
      <x:c r="C47" s="170" t="str">
        <x:v>9.74 g protein per 100 g; package serving approximately 50 g</x:v>
      </x:c>
      <x:c r="D47" s="170" t="str">
        <x:v>Label verified</x:v>
      </x:c>
      <x:c r="E47" s="170"/>
      <x:c r="F47" s="170"/>
      <x:c r="G47" s="170"/>
      <x:c r="H47" s="170"/>
    </x:row>
    <x:row r="48" ht="26.399999618530273" hidden="0" customHeight="1">
      <x:c r="A48" s="170" t="str">
        <x:v>Brown high-fibre bread</x:v>
      </x:c>
      <x:c r="B48" s="170" t="str">
        <x:v>Consumed portion</x:v>
      </x:c>
      <x:c r="C48" s="170" t="str">
        <x:v>Two slices confirmed as one approximately 50 g serving; 4.87 g protein</x:v>
      </x:c>
      <x:c r="D48" s="170" t="str">
        <x:v>Verified by Vipin on 2026-08-09</x:v>
      </x:c>
      <x:c r="E48" s="170"/>
      <x:c r="F48" s="170"/>
      <x:c r="G48" s="170"/>
      <x:c r="H48" s="170"/>
    </x:row>
    <x:row r="49" ht="26.399999618530273" hidden="0" customHeight="1">
      <x:c r="A49" s="170" t="str">
        <x:v>Evidence</x:v>
      </x:c>
      <x:c r="B49" s="170" t="str">
        <x:v>Local folder</x:v>
      </x:c>
      <x:c r="C49" s="170" t="str">
        <x:v>evidence/nutrition_labels/2026-08-09/milk-tofu-bread</x:v>
      </x:c>
      <x:c r="D49" s="170" t="str">
        <x:v>Six photos saved locally</x:v>
      </x:c>
      <x:c r="E49" s="170"/>
      <x:c r="F49" s="170"/>
      <x:c r="G49" s="170"/>
      <x:c r="H49" s="170"/>
    </x:row>
    <x:row r="50" ht="52.79999923706055" hidden="0" customHeight="1">
      <x:c r="A50" s="170" t="str">
        <x:v>ITC atta - exact variant To verify</x:v>
      </x:c>
      <x:c r="B50" s="170" t="str">
        <x:v>Nutrition per 100 g</x:v>
      </x:c>
      <x:c r="C50" s="170" t="str">
        <x:v>340 kcal; protein 10.5 g; carbohydrate 76.8 g; total sugars 4.8 g; added sugars 0 g; dietary fibre 10.8 g; fat 1.4 g; sodium 2.3 mg</x:v>
      </x:c>
      <x:c r="D50" s="170" t="str">
        <x:v>Label supplied 2026-08-09; exact product name not visible in crop</x:v>
      </x:c>
    </x:row>
    <x:row r="51" ht="39.599998474121094" hidden="0" customHeight="1">
      <x:c r="A51" s="170" t="str">
        <x:v>Roti portion</x:v>
      </x:c>
      <x:c r="B51" s="170" t="str">
        <x:v>Consumed portion and protein</x:v>
      </x:c>
      <x:c r="C51" s="170" t="str">
        <x:v>270 g dry atta makes 8 rotis; 3 rotis represent 101.25 g dry atta and 10.63 g protein</x:v>
      </x:c>
      <x:c r="D51" s="170" t="str">
        <x:v>Batch quantity and yield reported by Vipin on 2026-08-09</x:v>
      </x:c>
    </x:row>
    <x:row r="52" ht="52.79999923706055" hidden="0" customHeight="1">
      <x:c r="A52" s="170" t="str">
        <x:v>Roti evidence</x:v>
      </x:c>
      <x:c r="B52" s="170" t="str">
        <x:v>Local file / unresolved addition</x:v>
      </x:c>
      <x:c r="C52" s="170" t="str">
        <x:v>evidence/nutrition_labels/2026-08-09/atta-roti/01-atta-nutrition-label.jpg</x:v>
      </x:c>
      <x:c r="D52" s="170" t="str">
        <x:v>Ghee sometimes added; amount and frequency To verify for calories</x:v>
      </x:c>
    </x:row>
  </x:sheetData>
  <x:mergeCells>
    <x:mergeCell ref="A1:H2"/>
    <x:mergeCell ref="A4:H4"/>
    <x:mergeCell ref="A14:H14"/>
    <x:mergeCell ref="A25:C25"/>
    <x:mergeCell ref="A27:H27"/>
    <x:mergeCell ref="A31:H31"/>
    <x:mergeCell ref="A41:H41"/>
    <x:mergeCell ref="E25:H25"/>
  </x:mergeCells>
  <x:dataValidations count="3">
    <x:dataValidation type="list" sqref="F12:F18">
      <x:formula1>"To verify,Planned,Active,Needs adjustment"</x:formula1>
    </x:dataValidation>
    <x:dataValidation type="list" sqref="F16:F23">
      <x:formula1>"Known,Partial,To verify,Planned,Active,Needs adjustment"</x:formula1>
    </x:dataValidation>
    <x:dataValidation type="list" sqref="G29">
      <x:formula1>"On plan,Mostly on plan,Off plan,Not recorded"</x:formula1>
    </x:dataValidation>
  </x:dataValidations>
  <x:pageMargins left="0.7" right="0.7" top="0.75" bottom="0.75" header="0.3" footer="0.3"/>
  <x:tableParts count="4">
    <x:tablePart xmlns:r="http://schemas.openxmlformats.org/officeDocument/2006/relationships" r:id="R8e5ccbce0a2e48de"/>
    <x:tablePart xmlns:r="http://schemas.openxmlformats.org/officeDocument/2006/relationships" r:id="Rf164dd7f2fc64593"/>
    <x:tablePart xmlns:r="http://schemas.openxmlformats.org/officeDocument/2006/relationships" r:id="Rc83f777712a041ac"/>
    <x:tablePart xmlns:r="http://schemas.openxmlformats.org/officeDocument/2006/relationships" r:id="Re35b06aa6fc14d2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4" hidden="0" customWidth="1"/>
    <x:col min="4" max="4" width="14" hidden="0" customWidth="1"/>
    <x:col min="5" max="5" width="14" hidden="0" customWidth="1"/>
    <x:col min="6" max="6" width="14" hidden="0" customWidth="1"/>
    <x:col min="7" max="7" width="28" hidden="0" customWidth="1"/>
    <x:col min="8" max="8" width="28" hidden="0" customWidth="1"/>
    <x:col min="9" max="9" width="28" hidden="0" customWidth="1"/>
    <x:col min="10" max="10" width="52" hidden="0" customWidth="1"/>
    <x:col min="11" max="11" width="16" hidden="0" customWidth="1"/>
  </x:cols>
  <x:sheetData>
    <x:row r="1" ht="28" customHeight="1">
      <x:c r="A1" s="167" t="str">
        <x:v>Progress Photos &amp; Body Measurements</x:v>
      </x:c>
      <x:c r="B1" s="167" t="str">
        <x:v>Progress Photos &amp; Body Measurements</x:v>
      </x:c>
      <x:c r="C1" s="167" t="str">
        <x:v>Progress Photos &amp; Body Measurements</x:v>
      </x:c>
      <x:c r="D1" s="167" t="str">
        <x:v>Progress Photos &amp; Body Measurements</x:v>
      </x:c>
      <x:c r="E1" s="167" t="str">
        <x:v>Progress Photos &amp; Body Measurements</x:v>
      </x:c>
      <x:c r="F1" s="167" t="str">
        <x:v>Progress Photos &amp; Body Measurements</x:v>
      </x:c>
      <x:c r="G1" s="167" t="str">
        <x:v>Progress Photos &amp; Body Measurements</x:v>
      </x:c>
      <x:c r="H1" s="167" t="str">
        <x:v>Progress Photos &amp; Body Measurements</x:v>
      </x:c>
      <x:c r="I1" s="167" t="str">
        <x:v>Progress Photos &amp; Body Measurements</x:v>
      </x:c>
      <x:c r="J1" s="167" t="str">
        <x:v>Progress Photos &amp; Body Measurements</x:v>
      </x:c>
      <x:c r="K1" s="167" t="str">
        <x:v>Progress Photos &amp; Body Measurements</x:v>
      </x:c>
    </x:row>
    <x:row r="2" ht="28" customHeight="1">
      <x:c r="A2" s="166" t="str">
        <x:v>Progress Photos &amp; Body Measurements</x:v>
      </x:c>
      <x:c r="B2" s="166" t="str">
        <x:v>Progress Photos &amp; Body Measurements</x:v>
      </x:c>
      <x:c r="C2" s="166" t="str">
        <x:v>Progress Photos &amp; Body Measurements</x:v>
      </x:c>
      <x:c r="D2" s="166" t="str">
        <x:v>Progress Photos &amp; Body Measurements</x:v>
      </x:c>
      <x:c r="E2" s="166" t="str">
        <x:v>Progress Photos &amp; Body Measurements</x:v>
      </x:c>
      <x:c r="F2" s="166" t="str">
        <x:v>Progress Photos &amp; Body Measurements</x:v>
      </x:c>
      <x:c r="G2" s="166" t="str">
        <x:v>Progress Photos &amp; Body Measurements</x:v>
      </x:c>
      <x:c r="H2" s="166" t="str">
        <x:v>Progress Photos &amp; Body Measurements</x:v>
      </x:c>
      <x:c r="I2" s="166" t="str">
        <x:v>Progress Photos &amp; Body Measurements</x:v>
      </x:c>
      <x:c r="J2" s="166" t="str">
        <x:v>Progress Photos &amp; Body Measurements</x:v>
      </x:c>
      <x:c r="K2" s="166" t="str">
        <x:v>Progress Photos &amp; Body Measurements</x:v>
      </x:c>
    </x:row>
    <x:row r="3" ht="15" hidden="0" customHeight="1">
      <x:c r="A3" s="101" t="str">
        <x:v>Take photos about every 4 weeks under similar lighting, distance, posture, clothing, and time-of-day conditions.</x:v>
      </x:c>
      <x:c r="B3" s="101" t="str">
        <x:v>Take photos about every 4 weeks under similar lighting, distance, posture, clothing, and time-of-day conditions.</x:v>
      </x:c>
      <x:c r="C3" s="101" t="str">
        <x:v>Take photos about every 4 weeks under similar lighting, distance, posture, clothing, and time-of-day conditions.</x:v>
      </x:c>
      <x:c r="D3" s="101" t="str">
        <x:v>Take photos about every 4 weeks under similar lighting, distance, posture, clothing, and time-of-day conditions.</x:v>
      </x:c>
      <x:c r="E3" s="101" t="str">
        <x:v>Take photos about every 4 weeks under similar lighting, distance, posture, clothing, and time-of-day conditions.</x:v>
      </x:c>
      <x:c r="F3" s="101" t="str">
        <x:v>Take photos about every 4 weeks under similar lighting, distance, posture, clothing, and time-of-day conditions.</x:v>
      </x:c>
      <x:c r="G3" s="101" t="str">
        <x:v>Take photos about every 4 weeks under similar lighting, distance, posture, clothing, and time-of-day conditions.</x:v>
      </x:c>
      <x:c r="H3" s="101" t="str">
        <x:v>Take photos about every 4 weeks under similar lighting, distance, posture, clothing, and time-of-day conditions.</x:v>
      </x:c>
      <x:c r="I3" s="101" t="str">
        <x:v>Take photos about every 4 weeks under similar lighting, distance, posture, clothing, and time-of-day conditions.</x:v>
      </x:c>
      <x:c r="J3" s="101" t="str">
        <x:v>Take photos about every 4 weeks under similar lighting, distance, posture, clothing, and time-of-day conditions.</x:v>
      </x:c>
      <x:c r="K3" s="101" t="str">
        <x:v>Take photos about every 4 weeks under similar lighting, distance, posture, clothing, and time-of-day conditions.</x:v>
      </x:c>
    </x:row>
    <x:row r="4" ht="15" hidden="0" customHeight="1">
      <x:c r="A4" s="170" t="str">
        <x:v>Date</x:v>
      </x:c>
      <x:c r="B4" s="170" t="str">
        <x:v>Weight (kg)</x:v>
      </x:c>
      <x:c r="C4" s="170" t="str">
        <x:v>Waist (cm)</x:v>
      </x:c>
      <x:c r="D4" s="170" t="str">
        <x:v>Chest (cm)</x:v>
      </x:c>
      <x:c r="E4" s="170" t="str">
        <x:v>Arm (cm)</x:v>
      </x:c>
      <x:c r="F4" s="170" t="str">
        <x:v>Thigh (cm)</x:v>
      </x:c>
      <x:c r="G4" s="170" t="str">
        <x:v>Front Photo</x:v>
      </x:c>
      <x:c r="H4" s="170" t="str">
        <x:v>Side Photo</x:v>
      </x:c>
      <x:c r="I4" s="170" t="str">
        <x:v>Back Photo</x:v>
      </x:c>
      <x:c r="J4" s="170" t="str">
        <x:v>Conditions / Notes</x:v>
      </x:c>
      <x:c r="K4" s="170" t="str">
        <x:v>Status</x:v>
      </x:c>
    </x:row>
    <x:row r="5" ht="26.399999618530273" hidden="0" customHeight="1">
      <x:c r="A5" s="220" t="n">
        <x:v>46241</x:v>
      </x:c>
      <x:c r="B5" s="223" t="n">
        <x:v>90</x:v>
      </x:c>
      <x:c r="C5" s="223"/>
      <x:c r="D5" s="223"/>
      <x:c r="E5" s="223"/>
      <x:c r="F5" s="223"/>
      <x:c r="G5" s="170" t="str">
        <x:v>To link</x:v>
      </x:c>
      <x:c r="H5" s="170" t="str">
        <x:v>To link</x:v>
      </x:c>
      <x:c r="I5" s="170" t="str">
        <x:v>To link</x:v>
      </x:c>
      <x:c r="J5" s="170" t="str">
        <x:v>User confirmed current photos can be shared. Exact files, standardized conditions, verified weight and waist remain pending.</x:v>
      </x:c>
      <x:c r="K5" s="170" t="str">
        <x:v>To verify</x:v>
      </x:c>
    </x:row>
    <x:row r="6" ht="79.19999694824219" hidden="0" customHeight="1">
      <x:c r="A6" s="220" t="n">
        <x:v>46243</x:v>
      </x:c>
      <x:c r="B6" s="223" t="n">
        <x:v>88.8</x:v>
      </x:c>
      <x:c r="C6" s="223" t="n">
        <x:v>99.1</x:v>
      </x:c>
      <x:c r="D6" s="223"/>
      <x:c r="E6" s="223"/>
      <x:c r="F6" s="223"/>
      <x:c r="G6" s="170" t="str">
        <x:v>To link</x:v>
      </x:c>
      <x:c r="H6" s="170" t="str">
        <x:v>To link</x:v>
      </x:c>
      <x:c r="I6" s="170" t="str">
        <x:v>To link</x:v>
      </x:c>
      <x:c r="J6" s="170" t="str">
        <x:v>Reported Sunday morning measurement: waist taken at navel. Bathroom/pre-food conditions not explicitly reconfirmed. 91.5 kg gym-machine reading was post-workout at night and is retained only as non-comparable context. Standardized progress photos remain pending. Follow-up confirmed: measurements were taken after using the bathroom and before eating or drinking.</x:v>
      </x:c>
      <x:c r="K6" s="170" t="str">
        <x:v>To verify</x:v>
      </x:c>
    </x:row>
    <x:row r="7">
      <x:c r="A7" s="220" t="n">
        <x:v>46250</x:v>
      </x:c>
      <x:c r="B7" s="223" t="n">
        <x:v>88.3</x:v>
      </x:c>
      <x:c r="C7" s="223" t="n">
        <x:v>96.5</x:v>
      </x:c>
      <x:c r="D7" s="223"/>
      <x:c r="E7" s="223"/>
      <x:c r="F7" s="223"/>
      <x:c r="G7" s="170" t="str">
        <x:v>To link</x:v>
      </x:c>
      <x:c r="H7" s="170" t="str">
        <x:v>To link</x:v>
      </x:c>
      <x:c r="I7" s="170" t="str">
        <x:v>To link</x:v>
      </x:c>
      <x:c r="J7" s="170" t="str">
        <x:v>Verified standardized Sunday measurement: after bathroom, before food/drink, abdomen relaxed, tape at navel level. Weight changed -0.5 kg and waist -2.6 cm versus 2026-08-09. Progress photos were not supplied for this check-in.</x:v>
      </x:c>
      <x:c r="K7" s="170" t="str">
        <x:v>Missing photos</x:v>
      </x:c>
    </x:row>
    <x:row r="8">
      <x:c r="A8" s="220" t="n">
        <x:v>46257</x:v>
      </x:c>
      <x:c r="B8" s="170" t="n">
        <x:v>87.7</x:v>
      </x:c>
      <x:c r="C8" s="170" t="n">
        <x:v>96.5</x:v>
      </x:c>
      <x:c r="D8" s="170"/>
      <x:c r="E8" s="170"/>
      <x:c r="F8" s="170"/>
      <x:c r="G8" s="170" t="str">
        <x:v>To link</x:v>
      </x:c>
      <x:c r="H8" s="170" t="str">
        <x:v>To link</x:v>
      </x:c>
      <x:c r="I8" s="170" t="str">
        <x:v>To link</x:v>
      </x:c>
      <x:c r="J8" s="170" t="str">
        <x:v>Repeated morning readings 87.6-87.7 kg before food/drink; no morning bowel movement because bowel movement occurred around midnight. Abdomen relaxed and tape at navel. Previous-day 88.7 kg conditions To verify; photos not supplied.</x:v>
      </x:c>
      <x:c r="K8" s="170" t="str">
        <x:v>Partial / missing photos</x:v>
      </x:c>
    </x:row>
  </x:sheetData>
  <x:mergeCells>
    <x:mergeCell ref="A1:K2"/>
    <x:mergeCell ref="A3:K3"/>
  </x:mergeCells>
  <x:dataValidations count="2">
    <x:dataValidation type="list" sqref="K5">
      <x:formula1>"Verified,To verify,Missing photos,Complete"</x:formula1>
    </x:dataValidation>
    <x:dataValidation type="list" sqref="K5:K6">
      <x:formula1>"Verified,To verify,Missing photos,Complete"</x:formula1>
    </x:dataValidation>
  </x:dataValidations>
  <x:pageMargins left="0.7" right="0.7" top="0.75" bottom="0.75" header="0.3" footer="0.3"/>
  <x:tableParts count="1">
    <x:tablePart xmlns:r="http://schemas.openxmlformats.org/officeDocument/2006/relationships" r:id="R61a87173320a405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12" hidden="0" customWidth="1"/>
    <x:col min="4" max="4" width="15" hidden="0" customWidth="1"/>
    <x:col min="5" max="5" width="18" hidden="0" customWidth="1"/>
    <x:col min="6" max="6" width="18" hidden="0" customWidth="1"/>
    <x:col min="7" max="7" width="18" hidden="0" customWidth="1"/>
    <x:col min="8" max="8" width="16" hidden="0" customWidth="1"/>
    <x:col min="9" max="9" width="54" hidden="0" customWidth="1"/>
  </x:cols>
  <x:sheetData>
    <x:row r="1" ht="28" customHeight="1">
      <x:c r="A1" s="295" t="str">
        <x:v>Daily Protein Calculator</x:v>
      </x:c>
      <x:c r="B1" s="295" t="str">
        <x:v>Daily Protein Calculator</x:v>
      </x:c>
      <x:c r="C1" s="295" t="str">
        <x:v>Daily Protein Calculator</x:v>
      </x:c>
      <x:c r="D1" s="295" t="str">
        <x:v>Daily Protein Calculator</x:v>
      </x:c>
      <x:c r="E1" s="295" t="str">
        <x:v>Daily Protein Calculator</x:v>
      </x:c>
      <x:c r="F1" s="295" t="str">
        <x:v>Daily Protein Calculator</x:v>
      </x:c>
      <x:c r="G1" s="295" t="str">
        <x:v>Daily Protein Calculator</x:v>
      </x:c>
      <x:c r="H1" s="295" t="str">
        <x:v>Daily Protein Calculator</x:v>
      </x:c>
      <x:c r="I1" s="295" t="str">
        <x:v>Daily Protein Calculator</x:v>
      </x:c>
    </x:row>
    <x:row r="2" ht="28" customHeight="1">
      <x:c r="A2" s="269" t="str">
        <x:v>Daily Protein Calculator</x:v>
      </x:c>
      <x:c r="B2" s="269" t="str">
        <x:v>Daily Protein Calculator</x:v>
      </x:c>
      <x:c r="C2" s="269" t="str">
        <x:v>Daily Protein Calculator</x:v>
      </x:c>
      <x:c r="D2" s="269" t="str">
        <x:v>Daily Protein Calculator</x:v>
      </x:c>
      <x:c r="E2" s="269" t="str">
        <x:v>Daily Protein Calculator</x:v>
      </x:c>
      <x:c r="F2" s="269" t="str">
        <x:v>Daily Protein Calculator</x:v>
      </x:c>
      <x:c r="G2" s="269" t="str">
        <x:v>Daily Protein Calculator</x:v>
      </x:c>
      <x:c r="H2" s="269" t="str">
        <x:v>Daily Protein Calculator</x:v>
      </x:c>
      <x:c r="I2" s="269" t="str">
        <x:v>Daily Protein Calculator</x:v>
      </x:c>
    </x:row>
    <x:row r="3" ht="15" hidden="0" customHeight="1">
      <x:c r="A3" s="101" t="str">
        <x:v>Verified label values and directly reported protein are counted. Blank inputs remain To verify; the result is a known minimum, not yet the complete daily total.</x:v>
      </x:c>
      <x:c r="B3" s="101" t="str">
        <x:v>Verified label values and directly reported protein are counted. Blank inputs remain To verify; the result is a known minimum, not yet the complete daily total.</x:v>
      </x:c>
      <x:c r="C3" s="101" t="str">
        <x:v>Verified label values and directly reported protein are counted. Blank inputs remain To verify; the result is a known minimum, not yet the complete daily total.</x:v>
      </x:c>
      <x:c r="D3" s="101" t="str">
        <x:v>Verified label values and directly reported protein are counted. Blank inputs remain To verify; the result is a known minimum, not yet the complete daily total.</x:v>
      </x:c>
      <x:c r="E3" s="101" t="str">
        <x:v>Verified label values and directly reported protein are counted. Blank inputs remain To verify; the result is a known minimum, not yet the complete daily total.</x:v>
      </x:c>
      <x:c r="F3" s="101" t="str">
        <x:v>Verified label values and directly reported protein are counted. Blank inputs remain To verify; the result is a known minimum, not yet the complete daily total.</x:v>
      </x:c>
      <x:c r="G3" s="101" t="str">
        <x:v>Verified label values and directly reported protein are counted. Blank inputs remain To verify; the result is a known minimum, not yet the complete daily total.</x:v>
      </x:c>
      <x:c r="H3" s="101" t="str">
        <x:v>Verified label values and directly reported protein are counted. Blank inputs remain To verify; the result is a known minimum, not yet the complete daily total.</x:v>
      </x:c>
      <x:c r="I3" s="101" t="str">
        <x:v>Verified label values and directly reported protein are counted. Blank inputs remain To verify; the result is a known minimum, not yet the complete daily total.</x:v>
      </x:c>
    </x:row>
    <x:row r="4" ht="15" hidden="0" customHeight="1">
      <x:c r="A4" s="170"/>
      <x:c r="B4" s="170"/>
      <x:c r="C4" s="170"/>
      <x:c r="D4" s="170"/>
      <x:c r="E4" s="170"/>
      <x:c r="F4" s="170"/>
      <x:c r="G4" s="170"/>
      <x:c r="H4" s="170"/>
      <x:c r="I4" s="170"/>
    </x:row>
    <x:row r="5" ht="15" hidden="0" customHeight="1">
      <x:c r="A5" s="225" t="str">
        <x:v>Meal</x:v>
      </x:c>
      <x:c r="B5" s="226" t="str">
        <x:v>Food</x:v>
      </x:c>
      <x:c r="C5" s="226" t="str">
        <x:v>Quantity</x:v>
      </x:c>
      <x:c r="D5" s="226" t="str">
        <x:v>Unit</x:v>
      </x:c>
      <x:c r="E5" s="226" t="str">
        <x:v>Protein basis (g)</x:v>
      </x:c>
      <x:c r="F5" s="226" t="str">
        <x:v>Basis quantity</x:v>
      </x:c>
      <x:c r="G5" s="226" t="str">
        <x:v>Calculated protein (g)</x:v>
      </x:c>
      <x:c r="H5" s="226" t="str">
        <x:v>Status</x:v>
      </x:c>
      <x:c r="I5" s="227" t="str">
        <x:v>Evidence / missing input</x:v>
      </x:c>
    </x:row>
    <x:row r="6" ht="26.399999618530273" hidden="0" customHeight="1">
      <x:c r="A6" s="170" t="str">
        <x:v>Breakfast</x:v>
      </x:c>
      <x:c r="B6" s="170" t="str">
        <x:v>Kellogg's Muesli Nuts Delight</x:v>
      </x:c>
      <x:c r="C6" s="170" t="n">
        <x:v>60</x:v>
      </x:c>
      <x:c r="D6" s="170" t="str">
        <x:v>g</x:v>
      </x:c>
      <x:c r="E6" s="170" t="n">
        <x:v>8.3</x:v>
      </x:c>
      <x:c r="F6" s="170" t="n">
        <x:v>100</x:v>
      </x:c>
      <x:c r="G6" s="223" t="n">
        <x:f>IF(H6="To verify","",C6*E6/F6)</x:f>
        <x:v>4.98</x:v>
      </x:c>
      <x:c r="H6" s="170" t="str">
        <x:v>Verified</x:v>
      </x:c>
      <x:c r="I6" s="170" t="str">
        <x:v>Label: 8.3 g/100 g. User says 60 g; photo display is 61 g. evidence/nutrition_labels/2026-08-09/kelloggs-muesli-nuts-delight</x:v>
      </x:c>
    </x:row>
    <x:row r="7" ht="15" hidden="0" customHeight="1">
      <x:c r="A7" s="170" t="str">
        <x:v>Breakfast</x:v>
      </x:c>
      <x:c r="B7" s="170" t="str">
        <x:v>Run Nutrition yeast whey</x:v>
      </x:c>
      <x:c r="C7" s="170" t="n">
        <x:v>1</x:v>
      </x:c>
      <x:c r="D7" s="170" t="str">
        <x:v>serving</x:v>
      </x:c>
      <x:c r="E7" s="170" t="n">
        <x:v>26</x:v>
      </x:c>
      <x:c r="F7" s="170" t="n">
        <x:v>1</x:v>
      </x:c>
      <x:c r="G7" s="223" t="n">
        <x:f>IF(H7="To verify","",C7*E7/F7)</x:f>
        <x:v>26</x:v>
      </x:c>
      <x:c r="H7" s="170" t="str">
        <x:v>User reported</x:v>
      </x:c>
      <x:c r="I7" s="170" t="str">
        <x:v>26 g protein per breakfast serving; product label still pending</x:v>
      </x:c>
    </x:row>
    <x:row r="8" ht="66" hidden="0" customHeight="1">
      <x:c r="A8" s="325" t="str">
        <x:v>Breakfast</x:v>
      </x:c>
      <x:c r="B8" s="325" t="str">
        <x:v>Milk</x:v>
      </x:c>
      <x:c r="C8" s="325" t="n">
        <x:v>200</x:v>
      </x:c>
      <x:c r="D8" s="325" t="str">
        <x:v>mL</x:v>
      </x:c>
      <x:c r="E8" s="325" t="n">
        <x:v>3</x:v>
      </x:c>
      <x:c r="F8" s="325" t="n">
        <x:v>100</x:v>
      </x:c>
      <x:c r="G8" s="326" t="n">
        <x:f>IF(H8="To verify","",C8*E8/F8)</x:f>
        <x:v>6</x:v>
      </x:c>
      <x:c r="H8" s="325" t="str">
        <x:v>Verified</x:v>
      </x:c>
      <x:c r="I8" s="325" t="str">
        <x:v>Attached label: serving 200 mL and protein 3.0 g per 100 g. Formula uses the package convention of approximately 200 mL = 200 g. User is unsure whether the variant is toned or full cream. evidence/nutrition_labels/2026-08-09/milk-tofu-bread/01-milk-label.jpg</x:v>
      </x:c>
    </x:row>
    <x:row r="9" ht="82" hidden="0" customHeight="1">
      <x:c r="A9" s="325" t="str">
        <x:v>Lunch</x:v>
      </x:c>
      <x:c r="B9" s="325" t="str">
        <x:v>Rotis</x:v>
      </x:c>
      <x:c r="C9" s="325" t="n">
        <x:v>101.25</x:v>
      </x:c>
      <x:c r="D9" s="325" t="str">
        <x:v>g dry atta (3 of 8 rotis)</x:v>
      </x:c>
      <x:c r="E9" s="325" t="n">
        <x:v>10.5</x:v>
      </x:c>
      <x:c r="F9" s="325" t="n">
        <x:v>100</x:v>
      </x:c>
      <x:c r="G9" s="326" t="n">
        <x:f>C9*E9/F9</x:f>
        <x:v>10.63125</x:v>
      </x:c>
      <x:c r="H9" s="325" t="str">
        <x:v>Verified</x:v>
      </x:c>
      <x:c r="I9" s="325" t="str">
        <x:v>Vipin reported 270 g dry atta makes 8 rotis; three rotis therefore use 101.25 g dry atta. Supplied label: protein 10.5 g per 100 g. Calculated protein = 10.63 g. Ghee is sometimes added; quantity and frequency remain To verify for calories, but ghee does not materially change protein.</x:v>
      </x:c>
    </x:row>
    <x:row r="10" ht="15" hidden="0" customHeight="1">
      <x:c r="A10" s="325" t="str">
        <x:v>Lunch</x:v>
      </x:c>
      <x:c r="B10" s="325" t="str">
        <x:v>Sabji</x:v>
      </x:c>
      <x:c r="C10" s="325"/>
      <x:c r="D10" s="325" t="str">
        <x:v>g or serving</x:v>
      </x:c>
      <x:c r="E10" s="325"/>
      <x:c r="F10" s="325" t="n">
        <x:v>100</x:v>
      </x:c>
      <x:c r="G10" s="326" t="str">
        <x:f>IF(H10="To verify","",C10*E10/F10)</x:f>
      </x:c>
      <x:c r="H10" s="325" t="str">
        <x:v>To verify</x:v>
      </x:c>
      <x:c r="I10" s="325" t="str">
        <x:v>Need ingredients, portion and cooking method</x:v>
      </x:c>
    </x:row>
    <x:row r="11" ht="15" hidden="0" customHeight="1">
      <x:c r="A11" s="325" t="str">
        <x:v>Lunch</x:v>
      </x:c>
      <x:c r="B11" s="325" t="str">
        <x:v>Epigamia Turbo yogurt</x:v>
      </x:c>
      <x:c r="C11" s="325" t="n">
        <x:v>1</x:v>
      </x:c>
      <x:c r="D11" s="325" t="str">
        <x:v>serving</x:v>
      </x:c>
      <x:c r="E11" s="325" t="n">
        <x:v>17</x:v>
      </x:c>
      <x:c r="F11" s="325" t="n">
        <x:v>1</x:v>
      </x:c>
      <x:c r="G11" s="326" t="n">
        <x:v>17</x:v>
      </x:c>
      <x:c r="H11" s="325" t="str">
        <x:v>User reported</x:v>
      </x:c>
      <x:c r="I11" s="325" t="str">
        <x:v>17 g protein per lunch serving; exact serving weight and label remain To verify</x:v>
      </x:c>
    </x:row>
    <x:row r="12" ht="15" hidden="0" customHeight="1">
      <x:c r="A12" s="325" t="str">
        <x:v>Evening</x:v>
      </x:c>
      <x:c r="B12" s="325" t="str">
        <x:v>Fruit</x:v>
      </x:c>
      <x:c r="C12" s="325"/>
      <x:c r="D12" s="325" t="str">
        <x:v>g or piece</x:v>
      </x:c>
      <x:c r="E12" s="325"/>
      <x:c r="F12" s="325" t="n">
        <x:v>100</x:v>
      </x:c>
      <x:c r="G12" s="326" t="str">
        <x:f>IF(H12="To verify","",C12*E12/F12)</x:f>
      </x:c>
      <x:c r="H12" s="325" t="str">
        <x:v>To verify</x:v>
      </x:c>
      <x:c r="I12" s="325" t="str">
        <x:v>Not daily; type and quantity vary</x:v>
      </x:c>
    </x:row>
    <x:row r="13" ht="52.79999923706055" hidden="0" customHeight="1">
      <x:c r="A13" s="325" t="str">
        <x:v>Evening</x:v>
      </x:c>
      <x:c r="B13" s="325" t="str">
        <x:v>Tofu</x:v>
      </x:c>
      <x:c r="C13" s="325" t="n">
        <x:v>29</x:v>
      </x:c>
      <x:c r="D13" s="325" t="str">
        <x:v>g</x:v>
      </x:c>
      <x:c r="E13" s="325" t="n">
        <x:v>14.19</x:v>
      </x:c>
      <x:c r="F13" s="325" t="n">
        <x:v>100</x:v>
      </x:c>
      <x:c r="G13" s="326" t="n">
        <x:f>IF(H13="To verify","",C13*E13/F13)</x:f>
        <x:v>4.1151</x:v>
      </x:c>
      <x:c r="H13" s="325" t="str">
        <x:v>Verified</x:v>
      </x:c>
      <x:c r="I13" s="325" t="str">
        <x:v>Photo shows 58 g total tofu for two sandwiches; one sandwich receives half = 29 g. Label: 14.19 g protein per 100 g. evidence/nutrition_labels/2026-08-09/milk-tofu-bread/02-tofu-total-weight-58g.jpg and 03-tofu-nutrition-label.jpg</x:v>
      </x:c>
    </x:row>
    <x:row r="14" ht="39.599998474121094" hidden="0" customHeight="1">
      <x:c r="A14" s="325" t="str">
        <x:v>Evening</x:v>
      </x:c>
      <x:c r="B14" s="325" t="str">
        <x:v>Whole-wheat bread</x:v>
      </x:c>
      <x:c r="C14" s="325" t="n">
        <x:v>50</x:v>
      </x:c>
      <x:c r="D14" s="325" t="str">
        <x:v>g (2 slices / 1 serving)</x:v>
      </x:c>
      <x:c r="E14" s="325" t="n">
        <x:v>9.74</x:v>
      </x:c>
      <x:c r="F14" s="325" t="n">
        <x:v>100</x:v>
      </x:c>
      <x:c r="G14" s="326" t="n">
        <x:f>C14*E14/F14</x:f>
        <x:v>4.87</x:v>
      </x:c>
      <x:c r="H14" s="325" t="str">
        <x:v>Verified</x:v>
      </x:c>
      <x:c r="I14" s="325" t="str">
        <x:v>Vipin confirmed on 2026-08-09 that two slices equal one package serving of approximately 50 g. Label protein: 9.74 g per 100 g. Confirmed bread protein = 4.87 g.</x:v>
      </x:c>
    </x:row>
    <x:row r="15" ht="15" hidden="0" customHeight="1">
      <x:c r="A15" s="170" t="str">
        <x:v>During workout</x:v>
      </x:c>
      <x:c r="B15" s="170" t="str">
        <x:v>MuscleTech EAA+ Energy</x:v>
      </x:c>
      <x:c r="C15" s="170" t="n">
        <x:v>1</x:v>
      </x:c>
      <x:c r="D15" s="170" t="str">
        <x:v>scoop</x:v>
      </x:c>
      <x:c r="E15" s="170" t="n">
        <x:v>0</x:v>
      </x:c>
      <x:c r="F15" s="170" t="n">
        <x:v>1</x:v>
      </x:c>
      <x:c r="G15" s="223" t="n">
        <x:f>IF(H15="To verify","",C15*E15/F15)</x:f>
        <x:v>0</x:v>
      </x:c>
      <x:c r="H15" s="170" t="str">
        <x:v>Verified</x:v>
      </x:c>
      <x:c r="I15" s="170" t="str">
        <x:v>Label protein is 0 g; 7.49 g EAAs are not counted as dietary protein</x:v>
      </x:c>
    </x:row>
    <x:row r="16" ht="15" hidden="0" customHeight="1">
      <x:c r="A16" s="170" t="str">
        <x:v>Post-workout</x:v>
      </x:c>
      <x:c r="B16" s="170" t="str">
        <x:v>Ultimate Nutrition Prostar whey</x:v>
      </x:c>
      <x:c r="C16" s="170" t="n">
        <x:v>1</x:v>
      </x:c>
      <x:c r="D16" s="170" t="str">
        <x:v>serving</x:v>
      </x:c>
      <x:c r="E16" s="170" t="n">
        <x:v>25</x:v>
      </x:c>
      <x:c r="F16" s="170" t="n">
        <x:v>1</x:v>
      </x:c>
      <x:c r="G16" s="223" t="n">
        <x:f>IF(H16="To verify","",C16*E16/F16)</x:f>
        <x:v>25</x:v>
      </x:c>
      <x:c r="H16" s="170" t="str">
        <x:v>User reported</x:v>
      </x:c>
      <x:c r="I16" s="170" t="str">
        <x:v>25 g protein per post-workout serving; exact product label pending</x:v>
      </x:c>
    </x:row>
    <x:row r="17" ht="15" hidden="0" customHeight="1">
      <x:c r="A17" s="170" t="str">
        <x:v>Dinner</x:v>
      </x:c>
      <x:c r="B17" s="170" t="str">
        <x:v>Cooked Indian lentils</x:v>
      </x:c>
      <x:c r="C17" s="170"/>
      <x:c r="D17" s="170" t="str">
        <x:v>g or bowl</x:v>
      </x:c>
      <x:c r="E17" s="170"/>
      <x:c r="F17" s="170" t="n">
        <x:v>100</x:v>
      </x:c>
      <x:c r="G17" s="223" t="str">
        <x:f>IF(H17="To verify","",C17*E17/F17)</x:f>
      </x:c>
      <x:c r="H17" s="170" t="str">
        <x:v>To verify</x:v>
      </x:c>
      <x:c r="I17" s="170" t="str">
        <x:v>Need cooked weight/volume and lentil type</x:v>
      </x:c>
    </x:row>
    <x:row r="18" ht="15" hidden="0" customHeight="1">
      <x:c r="A18" s="170" t="str">
        <x:v>Dinner</x:v>
      </x:c>
      <x:c r="B18" s="170" t="str">
        <x:v>Salad</x:v>
      </x:c>
      <x:c r="C18" s="170"/>
      <x:c r="D18" s="170" t="str">
        <x:v>g or bowl</x:v>
      </x:c>
      <x:c r="E18" s="170"/>
      <x:c r="F18" s="170" t="n">
        <x:v>100</x:v>
      </x:c>
      <x:c r="G18" s="223" t="str">
        <x:f>IF(H18="To verify","",C18*E18/F18)</x:f>
      </x:c>
      <x:c r="H18" s="170" t="str">
        <x:v>To verify</x:v>
      </x:c>
      <x:c r="I18" s="170" t="str">
        <x:v>Need ingredients and quantity; likely a small protein contribution</x:v>
      </x:c>
    </x:row>
    <x:row r="19" ht="15" hidden="0" customHeight="1">
      <x:c r="A19" s="170" t="str">
        <x:v>Dinner</x:v>
      </x:c>
      <x:c r="B19" s="170" t="str">
        <x:v>Epigamia Turbo Flavored yogurt</x:v>
      </x:c>
      <x:c r="C19" s="170" t="n">
        <x:v>1</x:v>
      </x:c>
      <x:c r="D19" s="170" t="str">
        <x:v>serving</x:v>
      </x:c>
      <x:c r="E19" s="170" t="n">
        <x:v>15</x:v>
      </x:c>
      <x:c r="F19" s="170" t="n">
        <x:v>1</x:v>
      </x:c>
      <x:c r="G19" s="223" t="n">
        <x:v>15</x:v>
      </x:c>
      <x:c r="H19" s="170" t="str">
        <x:v>User reported</x:v>
      </x:c>
      <x:c r="I19" s="170" t="str">
        <x:v>15 g protein per dinner serving; flavor, serving weight and label remain To verify</x:v>
      </x:c>
    </x:row>
    <x:row r="20" ht="15" hidden="0" customHeight="1">
      <x:c r="A20" s="170"/>
      <x:c r="B20" s="170"/>
      <x:c r="C20" s="170"/>
      <x:c r="D20" s="170"/>
      <x:c r="E20" s="170"/>
      <x:c r="F20" s="170"/>
      <x:c r="G20" s="170"/>
      <x:c r="H20" s="170"/>
      <x:c r="I20" s="170"/>
    </x:row>
    <x:row r="21" ht="15" hidden="0" customHeight="1">
      <x:c r="A21" s="224" t="str">
        <x:v>Current Protein Summary</x:v>
      </x:c>
      <x:c r="B21" s="224" t="str">
        <x:v>Current Protein Summary</x:v>
      </x:c>
      <x:c r="C21" s="224" t="str">
        <x:v>Current Protein Summary</x:v>
      </x:c>
      <x:c r="D21" s="224" t="str">
        <x:v>Current Protein Summary</x:v>
      </x:c>
      <x:c r="E21" s="224" t="str">
        <x:v>Current Protein Summary</x:v>
      </x:c>
      <x:c r="F21" s="224" t="str">
        <x:v>Current Protein Summary</x:v>
      </x:c>
      <x:c r="G21" s="224" t="str">
        <x:v>Current Protein Summary</x:v>
      </x:c>
      <x:c r="H21" s="224" t="str">
        <x:v>Current Protein Summary</x:v>
      </x:c>
      <x:c r="I21" s="224" t="str">
        <x:v>Current Protein Summary</x:v>
      </x:c>
    </x:row>
    <x:row r="22" ht="15" hidden="0" customHeight="1">
      <x:c r="A22" s="250" t="str">
        <x:v>Known daily minimum</x:v>
      </x:c>
      <x:c r="B22" s="255" t="n">
        <x:v>113.59635</x:v>
      </x:c>
      <x:c r="C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3" ht="26.399999618530273" hidden="0" customHeight="1">
      <x:c r="A23" s="251" t="str">
        <x:v>Known breakfast including milk</x:v>
      </x:c>
      <x:c r="B23" s="256" t="n">
        <x:f>SUM(G6:G8)</x:f>
        <x:v>36.980000000000004</x:v>
      </x:c>
      <x:c r="C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4" ht="26.399999618530273" hidden="0" customHeight="1">
      <x:c r="A24" s="251" t="str">
        <x:v>Provisional target - low</x:v>
      </x:c>
      <x:c r="B24" s="296" t="n">
        <x:v>140</x:v>
      </x:c>
      <x:c r="C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5" ht="26.399999618530273" hidden="0" customHeight="1">
      <x:c r="A25" s="251" t="str">
        <x:v>Provisional target - high</x:v>
      </x:c>
      <x:c r="B25" s="296" t="n">
        <x:v>170</x:v>
      </x:c>
      <x:c r="C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6" ht="26.399999618530273" hidden="0" customHeight="1">
      <x:c r="A26" s="251" t="str">
        <x:v>Known-minimum gap to low target</x:v>
      </x:c>
      <x:c r="B26" s="296" t="n">
        <x:v>26.40365</x:v>
      </x:c>
      <x:c r="C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7" ht="15" hidden="0" customHeight="1">
      <x:c r="A27" s="252" t="str">
        <x:v>Interpretation</x:v>
      </x:c>
      <x:c r="B27" s="164" t="str">
        <x:v>The gap is only against the quantified minimum. Sabji, fruit, lentils and salad remain unquantified and will raise the actual total. Ghee quantity remains To verify for calories.</x:v>
      </x:c>
      <x:c r="C27" s="170" t="str">
        <x:v>The gap is only against the quantified minimum. Sabji, fruit, lentils and salad remain unquantified and will raise the actual total. Ghee quantity remains To verify for calories.</x:v>
      </x:c>
      <x:c r="D27" s="170" t="str">
        <x:v>The gap is only against the quantified minimum. Sabji, fruit, lentils and salad remain unquantified and will raise the actual total. Ghee quantity remains To verify for calories.</x:v>
      </x:c>
      <x:c r="E27" s="170" t="str">
        <x:v>The gap is only against the quantified minimum. Sabji, fruit, lentils and salad remain unquantified and will raise the actual total. Ghee quantity remains To verify for calories.</x:v>
      </x:c>
      <x:c r="F27" s="170" t="str">
        <x:v>The gap is only against the quantified minimum. Sabji, fruit, lentils and salad remain unquantified and will raise the actual total. Ghee quantity remains To verify for calories.</x:v>
      </x:c>
      <x:c r="G27" s="170" t="str">
        <x:v>The gap is only against the quantified minimum. Sabji, fruit, lentils and salad remain unquantified and will raise the actual total. Ghee quantity remains To verify for calories.</x:v>
      </x:c>
      <x:c r="H27" s="170" t="str">
        <x:v>The gap is only against the quantified minimum. Sabji, fruit, lentils and salad remain unquantified and will raise the actual total. Ghee quantity remains To verify for calories.</x:v>
      </x:c>
      <x:c r="I27" s="170" t="str">
        <x:v>The gap is only against the quantified minimum. Sabji, fruit, lentils and salad remain unquantified and will raise the actual total. Ghee quantity remains To verify for calories.</x:v>
      </x:c>
    </x:row>
    <x:row r="28" ht="15" hidden="0" customHeight="1">
      <x:c r="A28" s="170"/>
      <x:c r="B28" s="170"/>
      <x:c r="C28" s="170"/>
      <x:c r="D28" s="170"/>
      <x:c r="E28" s="170"/>
      <x:c r="F28" s="170"/>
      <x:c r="G28" s="170"/>
      <x:c r="H28" s="170"/>
      <x:c r="I28" s="170"/>
    </x:row>
    <x:row r="29" ht="15" hidden="0" customHeight="1">
      <x:c r="A29" s="224" t="str">
        <x:v>Earlier Muesli-Package Milk Scenario - Superseded by Supplied Milk Label</x:v>
      </x:c>
      <x:c r="B29" s="224" t="str">
        <x:v>Earlier Muesli-Package Milk Scenario - Superseded by Supplied Milk Label</x:v>
      </x:c>
      <x:c r="C29" s="224" t="str">
        <x:v>Earlier Muesli-Package Milk Scenario - Superseded by Supplied Milk Label</x:v>
      </x:c>
      <x:c r="D29" s="224" t="str">
        <x:v>Earlier Muesli-Package Milk Scenario - Superseded by Supplied Milk Label</x:v>
      </x:c>
      <x:c r="E29" s="224" t="str">
        <x:v>Earlier Muesli-Package Milk Scenario - Superseded by Supplied Milk Label</x:v>
      </x:c>
      <x:c r="F29" s="224" t="str">
        <x:v>Earlier Muesli-Package Milk Scenario - Superseded by Supplied Milk Label</x:v>
      </x:c>
      <x:c r="G29" s="224" t="str">
        <x:v>Earlier Muesli-Package Milk Scenario - Superseded by Supplied Milk Label</x:v>
      </x:c>
      <x:c r="H29" s="224" t="str">
        <x:v>Earlier Muesli-Package Milk Scenario - Superseded by Supplied Milk Label</x:v>
      </x:c>
      <x:c r="I29" s="224" t="str">
        <x:v>Earlier Muesli-Package Milk Scenario - Superseded by Supplied Milk Label</x:v>
      </x:c>
    </x:row>
    <x:row r="30" ht="39.599998474121094" hidden="0" customHeight="1">
      <x:c r="A30" s="250" t="str">
        <x:v>Package combined protein: 40 g cereal + 200 mL milk</x:v>
      </x:c>
      <x:c r="B30" s="248" t="n">
        <x:v>9.9</x:v>
      </x:c>
      <x:c r="C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1" ht="26.399999618530273" hidden="0" customHeight="1">
      <x:c r="A31" s="251" t="str">
        <x:v>Cereal quantity in package scenario (g)</x:v>
      </x:c>
      <x:c r="B31" s="249" t="n">
        <x:v>40</x:v>
      </x:c>
      <x:c r="C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2" ht="26.399999618530273" hidden="0" customHeight="1">
      <x:c r="A32" s="251" t="str">
        <x:v>Cereal protein basis (g/100 g)</x:v>
      </x:c>
      <x:c r="B32" s="249" t="n">
        <x:v>8.3</x:v>
      </x:c>
      <x:c r="C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3" ht="26.399999618530273" hidden="0" customHeight="1">
      <x:c r="A33" s="251" t="str">
        <x:v>Implied protein from 200 mL package milk</x:v>
      </x:c>
      <x:c r="B33" s="296" t="n">
        <x:f>B30-(B31*B32/100)</x:f>
        <x:v>6.58</x:v>
      </x:c>
      <x:c r="C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4" ht="39.599998474121094" hidden="0" customHeight="1">
      <x:c r="A34" s="252" t="str">
        <x:v>Conditional breakfast: 60 g cereal + whey + that milk</x:v>
      </x:c>
      <x:c r="B34" s="305" t="n">
        <x:f>G6+G7+B33</x:f>
        <x:v>37.56</x:v>
      </x:c>
      <x:c r="C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5" ht="15" hidden="0" customHeight="1">
      <x:c r="A35" s="170"/>
      <x:c r="B35" s="170"/>
      <x:c r="C35" s="170"/>
      <x:c r="D35" s="170"/>
      <x:c r="E35" s="170"/>
      <x:c r="F35" s="170"/>
      <x:c r="G35" s="170"/>
      <x:c r="H35" s="170"/>
      <x:c r="I35" s="170"/>
    </x:row>
    <x:row r="36" ht="15" hidden="0" customHeight="1">
      <x:c r="A36" s="224" t="str">
        <x:v>Bread Serving Confirmation - Resolved on 2026-08-09</x:v>
      </x:c>
      <x:c r="B36" s="224" t="str">
        <x:v>Bread Serving Confirmation - Resolved on 2026-08-09</x:v>
      </x:c>
      <x:c r="C36" s="224" t="str">
        <x:v>Bread Serving Confirmation - Resolved on 2026-08-09</x:v>
      </x:c>
      <x:c r="D36" s="224" t="str">
        <x:v>Bread Serving Confirmation - Resolved on 2026-08-09</x:v>
      </x:c>
      <x:c r="E36" s="224" t="str">
        <x:v>Bread Serving Confirmation - Resolved on 2026-08-09</x:v>
      </x:c>
      <x:c r="F36" s="224" t="str">
        <x:v>Bread Serving Confirmation - Resolved on 2026-08-09</x:v>
      </x:c>
      <x:c r="G36" s="224" t="str">
        <x:v>Bread Serving Confirmation - Resolved on 2026-08-09</x:v>
      </x:c>
      <x:c r="H36" s="224" t="str">
        <x:v>Bread Serving Confirmation - Resolved on 2026-08-09</x:v>
      </x:c>
      <x:c r="I36" s="224" t="str">
        <x:v>Bread Serving Confirmation - Resolved on 2026-08-09</x:v>
      </x:c>
    </x:row>
    <x:row r="37" ht="26.399999618530273" hidden="0" customHeight="1">
      <x:c r="A37" s="250" t="str">
        <x:v>Confirmed serving size: two slices (g)</x:v>
      </x:c>
      <x:c r="B37" s="248" t="n">
        <x:v>50</x:v>
      </x:c>
      <x:c r="C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38" ht="26.399999618530273" hidden="0" customHeight="1">
      <x:c r="A38" s="251" t="str">
        <x:v>Bread protein basis (g/100 g)</x:v>
      </x:c>
      <x:c r="B38" s="249" t="n">
        <x:v>9.74</x:v>
      </x:c>
      <x:c r="C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39" ht="26.399999618530273" hidden="0" customHeight="1">
      <x:c r="A39" s="251" t="str">
        <x:v>Confirmed protein from two slices</x:v>
      </x:c>
      <x:c r="B39" s="256" t="n">
        <x:f>B37*B38/100</x:f>
        <x:v>4.87</x:v>
      </x:c>
      <x:c r="C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40" ht="39.599998474121094" hidden="0" customHeight="1">
      <x:c r="A40" s="252" t="str">
        <x:v>Quantified daily minimum after bread confirmation</x:v>
      </x:c>
      <x:c r="B40" s="369" t="n">
        <x:v>94.9651</x:v>
      </x:c>
      <x:c r="C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41" ht="15" hidden="0" customHeight="1">
      <x:c r="A41" s="170"/>
      <x:c r="B41" s="170"/>
      <x:c r="C41" s="170"/>
      <x:c r="D41" s="170"/>
      <x:c r="E41" s="170"/>
      <x:c r="F41" s="170"/>
      <x:c r="G41" s="170"/>
      <x:c r="H41" s="170"/>
      <x:c r="I41" s="170"/>
    </x:row>
    <x:row r="42" ht="15" hidden="0" customHeight="1">
      <x:c r="A42" s="377" t="str">
        <x:v>Roti and Atta Verification - 2026-08-09</x:v>
      </x:c>
      <x:c r="B42" s="377" t="str">
        <x:v>Roti and Atta Verification - 2026-08-09</x:v>
      </x:c>
      <x:c r="C42" s="377" t="str">
        <x:v>Roti and Atta Verification - 2026-08-09</x:v>
      </x:c>
      <x:c r="D42" s="377" t="str">
        <x:v>Roti and Atta Verification - 2026-08-09</x:v>
      </x:c>
      <x:c r="E42" s="377" t="str">
        <x:v>Roti and Atta Verification - 2026-08-09</x:v>
      </x:c>
      <x:c r="F42" s="377" t="str">
        <x:v>Roti and Atta Verification - 2026-08-09</x:v>
      </x:c>
      <x:c r="G42" s="377" t="str">
        <x:v>Roti and Atta Verification - 2026-08-09</x:v>
      </x:c>
      <x:c r="H42" s="377" t="str">
        <x:v>Roti and Atta Verification - 2026-08-09</x:v>
      </x:c>
      <x:c r="I42" s="377" t="str">
        <x:v>Roti and Atta Verification - 2026-08-09</x:v>
      </x:c>
    </x:row>
    <x:row r="43" ht="26.399999618530273" hidden="0" customHeight="1">
      <x:c r="A43" s="170" t="str">
        <x:v>Dry atta used for batch (g)</x:v>
      </x:c>
      <x:c r="B43" s="170" t="n">
        <x:v>270</x:v>
      </x:c>
      <x:c r="C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4" ht="26.399999618530273" hidden="0" customHeight="1">
      <x:c r="A44" s="170" t="str">
        <x:v>Rotis produced from batch</x:v>
      </x:c>
      <x:c r="B44" s="170" t="n">
        <x:v>8</x:v>
      </x:c>
      <x:c r="C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5" ht="15" hidden="0" customHeight="1">
      <x:c r="A45" s="170" t="str">
        <x:v>Rotis consumed</x:v>
      </x:c>
      <x:c r="B45" s="170" t="n">
        <x:v>3</x:v>
      </x:c>
      <x:c r="C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6" ht="26.399999618530273" hidden="0" customHeight="1">
      <x:c r="A46" s="170" t="str">
        <x:v>Dry atta represented by 3 rotis (g)</x:v>
      </x:c>
      <x:c r="B46" s="371" t="n">
        <x:f>B43/B44*B45</x:f>
        <x:v>101.25</x:v>
      </x:c>
      <x:c r="C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7" ht="26.399999618530273" hidden="0" customHeight="1">
      <x:c r="A47" s="170" t="str">
        <x:v>Atta protein basis (g/100 g)</x:v>
      </x:c>
      <x:c r="B47" s="371" t="n">
        <x:v>10.5</x:v>
      </x:c>
      <x:c r="C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8" ht="15" hidden="0" customHeight="1">
      <x:c r="A48" s="170" t="str">
        <x:v>Protein from 3 rotis (g)</x:v>
      </x:c>
      <x:c r="B48" s="378" t="n">
        <x:f>B46*B47/100</x:f>
        <x:v>10.63125</x:v>
      </x:c>
      <x:c r="C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9" ht="26.399999618530273" hidden="0" customHeight="1">
      <x:c r="A49" s="170" t="str">
        <x:v>Atta energy basis (kcal/100 g)</x:v>
      </x:c>
      <x:c r="B49" s="371" t="n">
        <x:v>340</x:v>
      </x:c>
      <x:c r="C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50" ht="26.399999618530273" hidden="0" customHeight="1">
      <x:c r="A50" s="170" t="str">
        <x:v>Energy from 3 rotis before ghee (kcal)</x:v>
      </x:c>
      <x:c r="B50" s="371" t="n">
        <x:f>B46*B49/100</x:f>
        <x:v>344.25</x:v>
      </x:c>
      <x:c r="C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sheetData>
  <x:mergeCells>
    <x:mergeCell ref="A1:I2"/>
    <x:mergeCell ref="A3:I3"/>
    <x:mergeCell ref="A21:I21"/>
    <x:mergeCell ref="A29:I29"/>
    <x:mergeCell ref="C30:I34"/>
    <x:mergeCell ref="A36:I36"/>
    <x:mergeCell ref="C37:I40"/>
    <x:mergeCell ref="C22:I26"/>
    <x:mergeCell ref="B27:I27"/>
    <x:mergeCell ref="A42:I42"/>
    <x:mergeCell ref="C43:I50"/>
  </x:mergeCells>
  <x:conditionalFormatting sqref="H6:H19">
    <x:cfRule type="containsText" dxfId="11" priority="1" operator="containsText" text="Verified"/>
    <x:cfRule type="containsText" dxfId="12" priority="2" operator="containsText" text="User reported"/>
    <x:cfRule type="containsText" dxfId="13" priority="3" operator="containsText" text="To verify"/>
    <x:cfRule type="containsText" dxfId="14" priority="4" operator="containsText" text="Verified"/>
    <x:cfRule type="containsText" dxfId="15" priority="5" operator="containsText" text="User reported"/>
    <x:cfRule type="containsText" dxfId="16" priority="6" operator="containsText" text="To verify"/>
  </x:conditionalFormatting>
  <x:pageMargins left="0.7" right="0.7" top="0.75" bottom="0.75" header="0.3" footer="0.3"/>
  <x:tableParts count="1">
    <x:tablePart xmlns:r="http://schemas.openxmlformats.org/officeDocument/2006/relationships" r:id="Re2b7228f2ed44653"/>
  </x:tableParts>
</x:worksheet>
</file>